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5.xml" ContentType="application/vnd.openxmlformats-officedocument.spreadsheetml.comments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C7B6" lockStructure="1" lockWindows="0"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Guide" sheetId="2" state="visible" r:id="rId2"/>
    <sheet name="Réservations" sheetId="3" state="visible" r:id="rId3"/>
    <sheet name="Biens" sheetId="4" state="visible" r:id="rId4"/>
    <sheet name="Propriétaires" sheetId="5" state="visible" r:id="rId5"/>
    <sheet name="Journal Financier" sheetId="6" state="visible" r:id="rId6"/>
    <sheet name="Synthèse Mensuelle" sheetId="7" state="visible" r:id="rId7"/>
    <sheet name="Ménage" sheetId="8" state="visible" r:id="rId8"/>
    <sheet name="Maintenance" sheetId="9" state="visible" r:id="rId9"/>
    <sheet name="Facture Propriétaire" sheetId="10" state="visible" r:id="rId10"/>
    <sheet name="Rapport Mensuel" sheetId="11" state="visible" r:id="rId11"/>
    <sheet name="Paramètres" sheetId="12" state="visible" r:id="rId12"/>
  </sheets>
  <definedNames>
    <definedName name="Liste_Biens">Biens!$A$5:$A$14</definedName>
    <definedName name="Liste_BiensGeneral">Paramètres!$C$3:$C$13</definedName>
    <definedName name="Liste_Plateformes">Paramètres!$D$3:$D$5</definedName>
    <definedName name="Liste_StatutResa">Paramètres!$E$3:$E$6</definedName>
    <definedName name="Liste_TypeBien">Paramètres!$F$3:$F$5</definedName>
    <definedName name="Liste_StatutBien">Paramètres!$G$3:$G$4</definedName>
    <definedName name="Liste_StatutMenage">Paramètres!$H$3:$H$4</definedName>
    <definedName name="Liste_PrioriteMaint">Paramètres!$I$3:$I$6</definedName>
    <definedName name="Liste_StatutMaint">Paramètres!$J$3:$J$5</definedName>
    <definedName name="Liste_TypeJournal">Paramètres!$K$3:$K$4</definedName>
    <definedName name="Liste_CategorieJournal">Paramètres!$L$3:$L$13</definedName>
    <definedName name="Liste_ModePaiement">Paramètres!$M$3:$M$7</definedName>
    <definedName name="Liste_StatutPaiement">Paramètres!$N$3:$N$5</definedName>
    <definedName name="_xlnm._FilterDatabase" localSheetId="2" hidden="1">'Réservations'!$A$4:$T$204</definedName>
    <definedName name="_xlnm._FilterDatabase" localSheetId="5" hidden="1">'Journal Financier'!$A$4:$J$304</definedName>
    <definedName name="_xlnm.Print_Area" localSheetId="6">'Synthèse Mensuelle'!$A$1:$N$16</definedName>
    <definedName name="_xlnm._FilterDatabase" localSheetId="7" hidden="1">'Ménage'!$A$4:$K$154</definedName>
    <definedName name="_xlnm._FilterDatabase" localSheetId="8" hidden="1">'Maintenance'!$A$4:$J$104</definedName>
    <definedName name="_xlnm.Print_Area" localSheetId="9">'Facture Propriétaire'!$A$1:$H$37</definedName>
    <definedName name="_xlnm.Print_Area" localSheetId="10">'Rapport Mensuel'!$A$1:$F$29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 &quot;MAD&quot;"/>
    <numFmt numFmtId="166" formatCode="dd/mm/yyyy"/>
    <numFmt numFmtId="167" formatCode="mmm-aa"/>
    <numFmt numFmtId="168" formatCode="hh:mm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D4AF37"/>
      <sz val="13"/>
    </font>
    <font>
      <name val="Arial"/>
      <b val="1"/>
      <color rgb="00D4AF37"/>
      <sz val="15"/>
    </font>
    <font>
      <name val="Arial"/>
      <i val="1"/>
      <color rgb="00FFFFFF"/>
      <sz val="10"/>
    </font>
    <font>
      <name val="Arial"/>
      <b val="1"/>
      <color rgb="00FFFFFF"/>
      <sz val="9.5"/>
    </font>
    <font>
      <name val="Arial"/>
      <b val="1"/>
      <color rgb="00000000"/>
      <sz val="10"/>
    </font>
    <font>
      <name val="Arial"/>
      <b val="1"/>
      <color rgb="009C7A19"/>
      <sz val="10"/>
    </font>
    <font>
      <name val="Arial"/>
      <b val="1"/>
      <color rgb="009C7A19"/>
      <sz val="11.5"/>
    </font>
    <font>
      <name val="Arial"/>
      <b val="1"/>
      <color rgb="00000000"/>
      <sz val="16"/>
    </font>
    <font>
      <name val="Arial"/>
      <b val="1"/>
      <color rgb="009C7A19"/>
      <sz val="13"/>
    </font>
    <font>
      <name val="Arial"/>
      <i val="1"/>
      <color rgb="00808080"/>
      <sz val="9"/>
    </font>
    <font>
      <name val="Consolas"/>
      <color rgb="00000000"/>
      <sz val="9"/>
    </font>
  </fonts>
  <fills count="7">
    <fill>
      <patternFill/>
    </fill>
    <fill>
      <patternFill patternType="gray125"/>
    </fill>
    <fill>
      <patternFill patternType="solid"/>
    </fill>
    <fill>
      <patternFill patternType="solid">
        <fgColor rgb="009C7A19"/>
      </patternFill>
    </fill>
    <fill>
      <patternFill patternType="solid">
        <fgColor rgb="00FFF2CC"/>
      </patternFill>
    </fill>
    <fill>
      <patternFill patternType="solid">
        <fgColor rgb="00FBF8F1"/>
      </patternFill>
    </fill>
    <fill>
      <patternFill patternType="solid">
        <fgColor rgb="00FFFFFF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000000"/>
      </left>
      <right style="thin">
        <color rgb="00D4AF37"/>
      </right>
      <top style="medium">
        <color rgb="00000000"/>
      </top>
      <bottom style="medium">
        <color rgb="00000000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4" fillId="2" borderId="2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left" vertical="center" indent="1"/>
    </xf>
    <xf numFmtId="0" fontId="10" fillId="5" borderId="0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 wrapText="1"/>
    </xf>
    <xf numFmtId="1" fontId="11" fillId="5" borderId="1" applyAlignment="1" pivotButton="0" quotePrefix="0" xfId="0">
      <alignment horizontal="center" vertical="center"/>
    </xf>
    <xf numFmtId="164" fontId="11" fillId="5" borderId="1" applyAlignment="1" pivotButton="0" quotePrefix="0" xfId="0">
      <alignment horizontal="center" vertical="center"/>
    </xf>
    <xf numFmtId="165" fontId="11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1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166" fontId="3" fillId="0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top" wrapText="1" indent="1"/>
    </xf>
    <xf numFmtId="0" fontId="9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4" borderId="0" pivotButton="0" quotePrefix="0" xfId="0"/>
    <xf numFmtId="0" fontId="3" fillId="0" borderId="0" pivotButton="0" quotePrefix="0" xfId="0"/>
    <xf numFmtId="0" fontId="0" fillId="6" borderId="1" pivotButton="0" quotePrefix="0" xfId="0"/>
    <xf numFmtId="0" fontId="14" fillId="5" borderId="0" applyAlignment="1" pivotButton="0" quotePrefix="0" xfId="0">
      <alignment horizontal="left" vertical="top" wrapText="1" indent="1"/>
    </xf>
    <xf numFmtId="164" fontId="3" fillId="4" borderId="1" applyAlignment="1" applyProtection="1" pivotButton="0" quotePrefix="0" xfId="0">
      <alignment horizontal="center" vertical="center"/>
      <protection locked="0" hidden="0"/>
    </xf>
    <xf numFmtId="0" fontId="3" fillId="4" borderId="1" applyAlignment="1" applyProtection="1" pivotButton="0" quotePrefix="0" xfId="0">
      <alignment horizontal="center" vertical="center"/>
      <protection locked="0" hidden="0"/>
    </xf>
    <xf numFmtId="0" fontId="3" fillId="4" borderId="1" applyAlignment="1" applyProtection="1" pivotButton="0" quotePrefix="0" xfId="0">
      <alignment horizontal="left" vertical="center" wrapText="1"/>
      <protection locked="0" hidden="0"/>
    </xf>
    <xf numFmtId="166" fontId="3" fillId="4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pivotButton="0" quotePrefix="0" xfId="0">
      <alignment horizontal="center" vertical="center"/>
    </xf>
    <xf numFmtId="1" fontId="3" fillId="4" borderId="1" applyAlignment="1" applyProtection="1" pivotButton="0" quotePrefix="0" xfId="0">
      <alignment horizontal="center" vertical="center"/>
      <protection locked="0" hidden="0"/>
    </xf>
    <xf numFmtId="165" fontId="3" fillId="4" borderId="1" applyAlignment="1" applyProtection="1" pivotButton="0" quotePrefix="0" xfId="0">
      <alignment horizontal="center" vertical="center"/>
      <protection locked="0" hidden="0"/>
    </xf>
    <xf numFmtId="165" fontId="3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167" fontId="8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168" fontId="3" fillId="4" borderId="1" applyAlignment="1" applyProtection="1" pivotButton="0" quotePrefix="0" xfId="0">
      <alignment horizontal="center" vertical="center"/>
      <protection locked="0" hidden="0"/>
    </xf>
    <xf numFmtId="0" fontId="3" fillId="4" borderId="1" applyAlignment="1" applyProtection="1" pivotButton="0" quotePrefix="0" xfId="0">
      <alignment horizontal="left" vertical="center"/>
      <protection locked="0" hidden="0"/>
    </xf>
    <xf numFmtId="0" fontId="3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0" fillId="0" borderId="5" pivotButton="0" quotePrefix="0" xfId="0"/>
    <xf numFmtId="0" fontId="10" fillId="5" borderId="1" applyAlignment="1" pivotButton="0" quotePrefix="0" xfId="0">
      <alignment horizontal="left" vertical="center"/>
    </xf>
    <xf numFmtId="165" fontId="12" fillId="5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left" vertical="center"/>
    </xf>
    <xf numFmtId="0" fontId="8" fillId="0" borderId="0" pivotButton="0" quotePrefix="0" xfId="0"/>
    <xf numFmtId="0" fontId="0" fillId="0" borderId="6" pivotButton="0" quotePrefix="0" xfId="0"/>
    <xf numFmtId="167" fontId="3" fillId="4" borderId="1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2"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B45F06"/>
      </font>
      <fill>
        <patternFill patternType="solid">
          <fgColor rgb="00FDE9D9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D4AF37"/>
        </patternFill>
      </fill>
    </dxf>
    <dxf>
      <font>
        <color rgb="00B45F06"/>
      </font>
      <fill>
        <patternFill patternType="solid">
          <fgColor rgb="00FDE9D9"/>
        </patternFill>
      </fill>
    </dxf>
    <dxf>
      <font>
        <color rgb="00006100"/>
      </font>
      <fill>
        <patternFill patternType="solid">
          <fgColor rgb="00C6EFCE"/>
        </patternFill>
      </fill>
    </dxf>
    <dxf>
      <font>
        <i val="1"/>
        <strike val="1"/>
        <color rgb="00999999"/>
      </font>
    </dxf>
    <dxf>
      <font>
        <color rgb="009C0006"/>
      </font>
    </dxf>
    <dxf>
      <font>
        <color rgb="00006100"/>
      </font>
    </dxf>
    <dxf>
      <font>
        <b val="1"/>
        <color rgb="009C0006"/>
      </font>
    </dxf>
    <dxf>
      <fill>
        <patternFill patternType="solid">
          <fgColor rgb="00FFC7CE"/>
        </patternFill>
      </fill>
    </dxf>
    <dxf>
      <fill>
        <patternFill patternType="solid">
          <fgColor rgb="00FDE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Évolution du CA (12 derniers mois)</a:t>
            </a:r>
          </a:p>
        </rich>
      </tx>
    </title>
    <plotArea>
      <lineChart>
        <grouping val="standard"/>
        <ser>
          <idx val="0"/>
          <order val="0"/>
          <tx>
            <strRef>
              <f>'Synthèse Mensuelle'!D4</f>
            </strRef>
          </tx>
          <spPr>
            <a:ln w="22000">
              <a:solidFill>
                <a:srgbClr val="9C7A1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'Synthèse Mensuelle'!$A$5:$A$16</f>
            </numRef>
          </cat>
          <val>
            <numRef>
              <f>'Synthèse Mensuelle'!$D$5:$D$16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 (MAD)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Évolution du taux d'occupation (12 derniers mois)</a:t>
            </a:r>
          </a:p>
        </rich>
      </tx>
    </title>
    <plotArea>
      <lineChart>
        <grouping val="standard"/>
        <ser>
          <idx val="0"/>
          <order val="0"/>
          <tx>
            <strRef>
              <f>'Synthèse Mensuelle'!C4</f>
            </strRef>
          </tx>
          <spPr>
            <a:ln w="22000"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'Synthèse Mensuelle'!$A$5:$A$16</f>
            </numRef>
          </cat>
          <val>
            <numRef>
              <f>'Synthèse Mensuelle'!$C$5:$C$16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Taux d'occupation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MG Hôte</author>
  </authors>
  <commentList>
    <comment ref="F3" authorId="0" shapeId="0">
      <text>
        <t>Appliqué automatiquement au Prix total quand Plateforme = Airbnb ou Booking. 0% pour les réservations Direct. Modifiable.</t>
      </text>
    </comment>
  </commentList>
</comments>
</file>

<file path=xl/comments/comment2.xml><?xml version="1.0" encoding="utf-8"?>
<comments xmlns="http://schemas.openxmlformats.org/spreadsheetml/2006/main">
  <authors>
    <author>MG Hôte</author>
  </authors>
  <commentList>
    <comment ref="A5" authorId="0" shapeId="0">
      <text>
        <t>Renommez/complétez cette ligne avec les informations réelles de votre bien (adresse, ville, propriétaire, capacité...).</t>
      </text>
    </comment>
  </commentList>
</comments>
</file>

<file path=xl/comments/comment3.xml><?xml version="1.0" encoding="utf-8"?>
<comments xmlns="http://schemas.openxmlformats.org/spreadsheetml/2006/main">
  <authors>
    <author>MG Hôte</author>
  </authors>
  <commentList>
    <comment ref="I4" authorId="0" shapeId="0">
      <text>
        <t>Somme des lignes du Journal Financier catégorisées « Reversement propriétaire » pour le bien indiqué en colonne B. Si un propriétaire gère plusieurs biens, ajoutez une ligne par bien.</t>
      </text>
    </comment>
  </commentList>
</comments>
</file>

<file path=xl/comments/comment4.xml><?xml version="1.0" encoding="utf-8"?>
<comments xmlns="http://schemas.openxmlformats.org/spreadsheetml/2006/main">
  <authors>
    <author>MG Hôte</author>
  </authors>
  <commentList>
    <comment ref="E3" authorId="0" shapeId="0">
      <text>
        <t>Taux moyen appliqué à toutes les recettes du mois pour calculer la commission MG Hôte ci-dessous. Modifiable. Si vous gérez plusieurs biens à commissions différentes, utilisez un taux moyen pondéré.</t>
      </text>
    </comment>
  </commentList>
</comments>
</file>

<file path=xl/comments/comment5.xml><?xml version="1.0" encoding="utf-8"?>
<comments xmlns="http://schemas.openxmlformats.org/spreadsheetml/2006/main">
  <authors>
    <author>MG Hôte</author>
  </authors>
  <commentList>
    <comment ref="D4" authorId="0" shapeId="0">
      <text>
        <t>Saisissez le 1er jour du mois à analyser (ex: 01/07/2026). Toutes les données ci-dessous se recalculent automatiquement.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21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21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tabColor rgb="00D4AF37"/>
    <outlinePr summaryBelow="1" summaryRight="1"/>
    <pageSetUpPr/>
  </sheetPr>
  <dimension ref="A1:L46"/>
  <sheetViews>
    <sheetView showGridLines="0" tabSelected="0"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4" customWidth="1" min="12" max="12"/>
  </cols>
  <sheetData>
    <row r="1" ht="30" customHeight="1">
      <c r="A1" s="1" t="inlineStr">
        <is>
          <t>MG
HÔTE</t>
        </is>
      </c>
      <c r="C1" s="2" t="inlineStr">
        <is>
          <t>TABLEAU DE BORD</t>
        </is>
      </c>
    </row>
    <row r="2" ht="20" customHeight="1">
      <c r="C2" s="3">
        <f>"MG Hôte — Conciergerie Airbnb &amp; Booking — "&amp;TEXT(TODAY(),"dddd d mmmm yyyy")</f>
        <v/>
      </c>
    </row>
    <row r="3" ht="8" customHeight="1"/>
    <row r="4" ht="22" customHeight="1">
      <c r="A4" s="4" t="inlineStr">
        <is>
          <t>INDICATEURS CLÉS — AUJOURD'HUI / CE MOIS-CI</t>
        </is>
      </c>
    </row>
    <row r="5" ht="18" customHeight="1">
      <c r="B5" s="5" t="inlineStr">
        <is>
          <t>ARRIVÉES AUJOURD'HUI</t>
        </is>
      </c>
      <c r="D5" s="5" t="inlineStr">
        <is>
          <t>TAUX D'OCCUPATION (MOIS)</t>
        </is>
      </c>
      <c r="F5" s="5" t="inlineStr">
        <is>
          <t>NUITS RÉSERVÉES (MOIS)</t>
        </is>
      </c>
    </row>
    <row r="6" ht="30" customHeight="1">
      <c r="B6" s="6">
        <f>COUNTIFS(Réservations!$G$5:$G$204,TODAY(),Réservations!$Q$5:$Q$204,"&lt;&gt;Annulée")</f>
        <v/>
      </c>
      <c r="D6" s="7">
        <f>'Synthèse Mensuelle'!C16</f>
        <v/>
      </c>
      <c r="F6" s="6">
        <f>'Synthèse Mensuelle'!B16</f>
        <v/>
      </c>
    </row>
    <row r="8" ht="22" customHeight="1">
      <c r="A8" s="4" t="inlineStr">
        <is>
          <t>BLOC FINANCIER — MOIS EN COURS</t>
        </is>
      </c>
    </row>
    <row r="9" ht="18" customHeight="1">
      <c r="B9" s="5" t="inlineStr">
        <is>
          <t>CA DU MOIS</t>
        </is>
      </c>
      <c r="D9" s="5" t="inlineStr">
        <is>
          <t>DÉPENSES DU MOIS</t>
        </is>
      </c>
      <c r="F9" s="5" t="inlineStr">
        <is>
          <t>RÉSULTAT NET</t>
        </is>
      </c>
      <c r="H9" s="5" t="inlineStr">
        <is>
          <t>COMMISSION MG HÔTE</t>
        </is>
      </c>
      <c r="J9" s="5" t="inlineStr">
        <is>
          <t>DÛ AU PROPRIÉTAIRE</t>
        </is>
      </c>
    </row>
    <row r="10" ht="30" customHeight="1">
      <c r="B10" s="8">
        <f>'Synthèse Mensuelle'!D16</f>
        <v/>
      </c>
      <c r="D10" s="8">
        <f>'Synthèse Mensuelle'!K16</f>
        <v/>
      </c>
      <c r="F10" s="8">
        <f>'Synthèse Mensuelle'!L16</f>
        <v/>
      </c>
      <c r="H10" s="8">
        <f>'Synthèse Mensuelle'!M16</f>
        <v/>
      </c>
      <c r="J10" s="8">
        <f>'Synthèse Mensuelle'!N16</f>
        <v/>
      </c>
    </row>
    <row r="12" ht="22" customHeight="1">
      <c r="A12" s="4" t="inlineStr">
        <is>
          <t>ALERTES OPÉRATIONNELLES</t>
        </is>
      </c>
    </row>
    <row r="13" ht="20" customHeight="1">
      <c r="B13" s="9" t="inlineStr">
        <is>
          <t>Indicateur</t>
        </is>
      </c>
      <c r="C13" s="9" t="inlineStr">
        <is>
          <t>Valeur</t>
        </is>
      </c>
      <c r="D13" s="9" t="inlineStr">
        <is>
          <t>État</t>
        </is>
      </c>
    </row>
    <row r="14" ht="26" customHeight="1">
      <c r="B14" s="10" t="inlineStr">
        <is>
          <t>Voyageurs non payés (séjour déjà terminé)</t>
        </is>
      </c>
      <c r="C14" s="11">
        <f>COUNTIFS(Réservations!$R$5:$R$204,"Non payé",Réservations!$H$5:$H$204,"&lt;"&amp;TODAY())</f>
        <v/>
      </c>
      <c r="D14" s="12">
        <f>IF(C14&gt;0,"À traiter","OK")</f>
        <v/>
      </c>
    </row>
    <row r="15" ht="26" customHeight="1">
      <c r="B15" s="10" t="inlineStr">
        <is>
          <t>Ménages oubliés (en attente, date dépassée)</t>
        </is>
      </c>
      <c r="C15" s="11">
        <f>COUNTIFS('Ménage'!$D$5:$D$154,"En attente",'Ménage'!$A$5:$A$154,"&lt;"&amp;TODAY())</f>
        <v/>
      </c>
      <c r="D15" s="12">
        <f>IF(C15&gt;0,"À traiter","OK")</f>
        <v/>
      </c>
    </row>
    <row r="16" ht="26" customHeight="1">
      <c r="B16" s="10" t="inlineStr">
        <is>
          <t>Rentabilité du mois (marge nette)</t>
        </is>
      </c>
      <c r="C16" s="13">
        <f>IFERROR('Synthèse Mensuelle'!L16/'Synthèse Mensuelle'!D16,0)</f>
        <v/>
      </c>
      <c r="D16" s="12">
        <f>IF('Synthèse Mensuelle'!D16=0,"-",IF(C16&lt;0.2,"Faible","Correcte"))</f>
        <v/>
      </c>
    </row>
    <row r="17" ht="26" customHeight="1">
      <c r="B17" s="10" t="inlineStr">
        <is>
          <t>Logement vide depuis (jours, sans réservation en cours)</t>
        </is>
      </c>
      <c r="C17" s="11">
        <f>B46</f>
        <v/>
      </c>
      <c r="D17" s="12">
        <f>IF(C17&gt;=14,"Alerte","OK")</f>
        <v/>
      </c>
    </row>
    <row r="20" ht="22" customHeight="1">
      <c r="A20" s="4" t="inlineStr">
        <is>
          <t>PERFORMANCE — ÉVOLUTION SUR 12 MOIS</t>
        </is>
      </c>
    </row>
    <row r="42" ht="22" customHeight="1">
      <c r="A42" s="4" t="inlineStr">
        <is>
          <t>Zone de calcul interne (ne pas modifier)</t>
        </is>
      </c>
    </row>
    <row r="44">
      <c r="A44" s="14" t="inlineStr">
        <is>
          <t>Dernier départ passé (date)</t>
        </is>
      </c>
      <c r="B44" s="15">
        <f>IFERROR(_xlfn.MAXIFS(Réservations!$H$5:$H$204,Réservations!$H$5:$H$204,"&lt;"&amp;TODAY()),0)</f>
        <v/>
      </c>
    </row>
    <row r="45">
      <c r="A45" s="14" t="inlineStr">
        <is>
          <t>Prochaine arrivée (date)</t>
        </is>
      </c>
      <c r="B45" s="15">
        <f>IFERROR(_xlfn.MINIFS(Réservations!$G$5:$G$204,Réservations!$G$5:$G$204,"&gt;="&amp;TODAY()),0)</f>
        <v/>
      </c>
    </row>
    <row r="46">
      <c r="A46" s="14" t="inlineStr">
        <is>
          <t>Jours sans réservation en cours</t>
        </is>
      </c>
      <c r="B46" s="16">
        <f>IF(AND(B44&gt;0,TODAY()&gt;B44,OR(B45=0,B45&gt;TODAY())),TODAY()-B44,0)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C7B6"/>
  <mergeCells count="28">
    <mergeCell ref="D10:E10"/>
    <mergeCell ref="F10:G10"/>
    <mergeCell ref="H10:I10"/>
    <mergeCell ref="B15"/>
    <mergeCell ref="J10:K10"/>
    <mergeCell ref="F6:G6"/>
    <mergeCell ref="H9:I9"/>
    <mergeCell ref="A12:L12"/>
    <mergeCell ref="J9:K9"/>
    <mergeCell ref="D6:E6"/>
    <mergeCell ref="A42:L42"/>
    <mergeCell ref="F5:G5"/>
    <mergeCell ref="A8:L8"/>
    <mergeCell ref="B16"/>
    <mergeCell ref="A4:L4"/>
    <mergeCell ref="A20:L20"/>
    <mergeCell ref="B10:C10"/>
    <mergeCell ref="B9:C9"/>
    <mergeCell ref="A1:B2"/>
    <mergeCell ref="D9:E9"/>
    <mergeCell ref="B14"/>
    <mergeCell ref="C1:L1"/>
    <mergeCell ref="F9:G9"/>
    <mergeCell ref="B6:C6"/>
    <mergeCell ref="B17"/>
    <mergeCell ref="B5:C5"/>
    <mergeCell ref="D5:E5"/>
    <mergeCell ref="C2:L2"/>
  </mergeCells>
  <conditionalFormatting sqref="D14:D17">
    <cfRule type="cellIs" priority="1" operator="equal" dxfId="0">
      <formula>"À traiter"</formula>
    </cfRule>
    <cfRule type="cellIs" priority="2" operator="equal" dxfId="0">
      <formula>"Alerte"</formula>
    </cfRule>
    <cfRule type="cellIs" priority="3" operator="equal" dxfId="1">
      <formula>"Faible"</formula>
    </cfRule>
    <cfRule type="cellIs" priority="4" operator="equal" dxfId="2">
      <formula>"OK"</formula>
    </cfRule>
    <cfRule type="cellIs" priority="5" operator="equal" dxfId="2">
      <formula>"Correcte"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808080"/>
    <outlinePr summaryBelow="1" summaryRight="1"/>
    <pageSetUpPr/>
  </sheetPr>
  <dimension ref="A1:H78"/>
  <sheetViews>
    <sheetView showGridLines="0" tabSelected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0" customHeight="1">
      <c r="A1" s="1" t="inlineStr">
        <is>
          <t>MG
HÔTE</t>
        </is>
      </c>
      <c r="C1" s="2" t="inlineStr">
        <is>
          <t>GUIDE D'UTILISATION</t>
        </is>
      </c>
    </row>
    <row r="2" ht="20" customHeight="1">
      <c r="C2" s="3" t="inlineStr">
        <is>
          <t>Fichier de gestion MG Hôte — conciergerie Airbnb, Booking &amp; location courte durée</t>
        </is>
      </c>
    </row>
    <row r="4" ht="22" customHeight="1">
      <c r="A4" s="4" t="inlineStr">
        <is>
          <t>1. OBJECTIF DU FICHIER</t>
        </is>
      </c>
    </row>
    <row r="5">
      <c r="A5" s="17" t="inlineStr">
        <is>
          <t>Ce classeur est l'outil de gestion central de MG Hôte pour le pilotage de la conciergerie (Airbnb, Booking, location courte durée — villas, appartements, riads). Il regroupe la gestion des réservations, des propriétaires, des biens, la comptabilité, le ménage, la maintenance et les documents à imprimer ou exporter en PDF, en vue d'évoluer vers un véritable ERP de conciergerie.</t>
        </is>
      </c>
    </row>
    <row r="6"/>
    <row r="7"/>
    <row r="9" ht="22" customHeight="1">
      <c r="A9" s="4" t="inlineStr">
        <is>
          <t>2. LISTE DES ONGLETS ET LEUR RÔLE</t>
        </is>
      </c>
    </row>
    <row r="10" ht="18" customHeight="1">
      <c r="A10" s="9" t="inlineStr">
        <is>
          <t>Onglet</t>
        </is>
      </c>
      <c r="B10" s="9" t="n"/>
      <c r="C10" s="9" t="inlineStr">
        <is>
          <t>Rôle</t>
        </is>
      </c>
      <c r="D10" s="9" t="n"/>
      <c r="E10" s="9" t="n"/>
      <c r="F10" s="9" t="n"/>
      <c r="G10" s="9" t="n"/>
      <c r="H10" s="9" t="n"/>
    </row>
    <row r="11" ht="16" customHeight="1">
      <c r="A11" s="18" t="inlineStr">
        <is>
          <t>Accueil</t>
        </is>
      </c>
      <c r="C11" s="19" t="inlineStr">
        <is>
          <t>Tableau de bord : indicateurs clés, bloc financier, alertes, graphiques d'évolution.</t>
        </is>
      </c>
    </row>
    <row r="12" ht="16" customHeight="1">
      <c r="A12" s="18" t="inlineStr">
        <is>
          <t>Réservations</t>
        </is>
      </c>
      <c r="C12" s="19" t="inlineStr">
        <is>
          <t>Une ligne = une réservation. Sert aussi de formulaire de saisie.</t>
        </is>
      </c>
    </row>
    <row r="13" ht="16" customHeight="1">
      <c r="A13" s="18" t="inlineStr">
        <is>
          <t>Biens</t>
        </is>
      </c>
      <c r="C13" s="19" t="inlineStr">
        <is>
          <t>Fiche de chaque bien géré (Bien 1, Bien 2...), commission et statut.</t>
        </is>
      </c>
    </row>
    <row r="14" ht="16" customHeight="1">
      <c r="A14" s="18" t="inlineStr">
        <is>
          <t>Propriétaires</t>
        </is>
      </c>
      <c r="C14" s="19" t="inlineStr">
        <is>
          <t>Coordonnées des propriétaires et suivi des versements.</t>
        </is>
      </c>
    </row>
    <row r="15" ht="16" customHeight="1">
      <c r="A15" s="18" t="inlineStr">
        <is>
          <t>Journal Financier</t>
        </is>
      </c>
      <c r="C15" s="19" t="inlineStr">
        <is>
          <t>Mini comptabilité : toutes les recettes et dépenses, une ligne par mouvement.</t>
        </is>
      </c>
    </row>
    <row r="16" ht="16" customHeight="1">
      <c r="A16" s="18" t="inlineStr">
        <is>
          <t>Synthèse Mensuelle</t>
        </is>
      </c>
      <c r="C16" s="19" t="inlineStr">
        <is>
          <t>Agrégats des 12 derniers mois (CA, dépenses, résultat, commission).</t>
        </is>
      </c>
    </row>
    <row r="17" ht="16" customHeight="1">
      <c r="A17" s="18" t="inlineStr">
        <is>
          <t>Ménage</t>
        </is>
      </c>
      <c r="C17" s="19" t="inlineStr">
        <is>
          <t>Statut de ménage (fait / en attente) et compte rendu par passage.</t>
        </is>
      </c>
    </row>
    <row r="18" ht="16" customHeight="1">
      <c r="A18" s="18" t="inlineStr">
        <is>
          <t>Maintenance</t>
        </is>
      </c>
      <c r="C18" s="19" t="inlineStr">
        <is>
          <t>Suivi des incidents, priorité et résolution.</t>
        </is>
      </c>
    </row>
    <row r="19" ht="16" customHeight="1">
      <c r="A19" s="18" t="inlineStr">
        <is>
          <t>Facture Propriétaire</t>
        </is>
      </c>
      <c r="C19" s="19" t="inlineStr">
        <is>
          <t>Fiche propriétaire + décompte financier, prête à imprimer/exporter en PDF.</t>
        </is>
      </c>
    </row>
    <row r="20" ht="16" customHeight="1">
      <c r="A20" s="18" t="inlineStr">
        <is>
          <t>Rapport Mensuel</t>
        </is>
      </c>
      <c r="C20" s="19" t="inlineStr">
        <is>
          <t>Rapport d'activité mensuel complet, prêt à imprimer/exporter en PDF.</t>
        </is>
      </c>
    </row>
    <row r="21" ht="16" customHeight="1">
      <c r="A21" s="18" t="inlineStr">
        <is>
          <t>Paramètres</t>
        </is>
      </c>
      <c r="C21" s="19" t="inlineStr">
        <is>
          <t>Listes utilisées par les menus déroulants (ne pas modifier).</t>
        </is>
      </c>
    </row>
    <row r="23" ht="22" customHeight="1">
      <c r="A23" s="4" t="inlineStr">
        <is>
          <t>3. CODE COULEUR</t>
        </is>
      </c>
    </row>
    <row r="24" ht="16" customHeight="1">
      <c r="A24" s="20" t="inlineStr">
        <is>
          <t>  </t>
        </is>
      </c>
      <c r="B24" s="21" t="inlineStr">
        <is>
          <t>Fond doré clair = zone modifiable (à saisir vous-même)</t>
        </is>
      </c>
    </row>
    <row r="25" ht="16" customHeight="1">
      <c r="A25" s="22" t="inlineStr">
        <is>
          <t>  </t>
        </is>
      </c>
      <c r="B25" s="21" t="inlineStr">
        <is>
          <t>Fond blanc = calcul automatique (formule protégée, ne pas modifier)</t>
        </is>
      </c>
    </row>
    <row r="27" ht="22" customHeight="1">
      <c r="A27" s="4" t="inlineStr">
        <is>
          <t>4. PROTECTION ET MOT DE PASSE</t>
        </is>
      </c>
    </row>
    <row r="28">
      <c r="A28" s="17" t="inlineStr">
        <is>
          <t>Chaque onglet est protégé : seules les zones dorées sont modifiables, les formules sont verrouillées pour éviter les erreurs de saisie. Mot de passe de protection des feuilles et de la structure du classeur : MGHOTE2026 (Excel &gt; Révision &gt; Protéger la feuille / Protéger le classeur pour le modifier). Conservez ce mot de passe en lieu sûr — changez-le si besoin depuis le même menu.</t>
        </is>
      </c>
    </row>
    <row r="29"/>
    <row r="30"/>
    <row r="32" ht="22" customHeight="1">
      <c r="A32" s="4" t="inlineStr">
        <is>
          <t>5. LOGO MG HÔTE</t>
        </is>
      </c>
    </row>
    <row r="33">
      <c r="A33" s="17" t="inlineStr">
        <is>
          <t>Un emplacement noir/or réservé au logo figure en haut à gauche de chaque onglet (bloc « MG HÔTE »). Insérez votre logo réel via Excel : Insertion &gt; Images, puis redimensionnez-le sur cet emplacement.</t>
        </is>
      </c>
    </row>
    <row r="34"/>
    <row r="36" ht="22" customHeight="1">
      <c r="A36" s="4" t="inlineStr">
        <is>
          <t>6. SAUVEGARDE AUTOMATIQUE ET SUIVI DES MODIFICATIONS</t>
        </is>
      </c>
    </row>
    <row r="37">
      <c r="A37" s="17" t="inlineStr">
        <is>
          <t>AutoSave : enregistrez ce fichier sur OneDrive ou SharePoint (Fichier &gt; Enregistrer une copie &gt; OneDrive), puis activez l'interrupteur AutoSave en haut à gauche d'Excel — vos saisies sont alors sauvegardées en continu. Suivi des modifications / historique : une fois le fichier sur OneDrive, utilisez Fichier &gt; Informations &gt; Historique des versions pour consulter ou restaurer une version antérieure (équivalent moderne du suivi des modifications pour un classeur partagé).</t>
        </is>
      </c>
    </row>
    <row r="38"/>
    <row r="39"/>
    <row r="40"/>
    <row r="42" ht="22" customHeight="1">
      <c r="A42" s="4" t="inlineStr">
        <is>
          <t>7. AUTOMATISATIONS — MACROS PDF (Excel Windows uniquement)</t>
        </is>
      </c>
    </row>
    <row r="43">
      <c r="A43" s="17" t="inlineStr">
        <is>
          <t>Ce fichier .xlsx ne contient pas de macro pré-installée (les macros ne peuvent pas être testées de manière fiable hors d'Excel). Pour activer les boutons PDF en un clic, installez une fois ces 2 macros ci-dessous : 1) Enregistrez le fichier au format .xlsm (Fichier &gt; Enregistrer sous &gt; Classeur Excel (.xlsm)). 2) Ouvrez l'éditeur VBA (Alt+F11) &gt; clic droit sur le nom du classeur &gt; Insérer &gt; Module. 3) Collez le code ci-dessous. 4) Développeur &gt; Insérer &gt; Bouton, puis affectez la macro voulue.</t>
        </is>
      </c>
    </row>
    <row r="44"/>
    <row r="45"/>
    <row r="47">
      <c r="A47" s="23" t="inlineStr">
        <is>
          <t>Sub MGHote_GenererFacturePDF()
    Dim ws As Worksheet, nomFichier As String
    Set ws = ThisWorkbook.Sheets("Facture Propriétaire")
    nomFichier = ThisWorkbook.Path &amp; "\Facture_" &amp; Format(Date, "yyyymmdd") &amp; ".pdf"
    ws.ExportAsFixedFormat Type:=xlTypePDF, Filename:=nomFichier, OpenAfterPublish:=True
    MsgBox "Facture PDF générée : " &amp; nomFichier, vbInformation, "MG Hôte"
End Sub
Sub MGHote_GenererRapportPDF()
    Dim ws As Worksheet, nomFichier As String
    Set ws = ThisWorkbook.Sheets("Rapport Mensuel")
    nomFichier = ThisWorkbook.Path &amp; "\Rapport_" &amp; Format(ws.Range("D4").Value, "yyyy-mm") &amp; ".pdf"
    ws.ExportAsFixedFormat Type:=xlTypePDF, Filename:=nomFichier, OpenAfterPublish:=True
    MsgBox "Rapport PDF généré : " &amp; nomFichier, vbInformation, "MG Hôte"
End Sub
Sub MGHote_NouvelleReservation()
    Dim ws As Worksheet, r As Long
    Set ws = ThisWorkbook.Sheets("Réservations")
    ws.Unprotect Password:="MGHOTE2026"
    r = 5
    Do While ws.Cells(r, 2).Value &lt;&gt; ""
        r = r + 1
    Loop
    ws.Protect Password:="MGHOTE2026", AllowFiltering:=True, AllowSorting:=True
    ws.Activate
    ws.Cells(r, 2).Select
    MsgBox "Nouvelle ligne prête, ligne " &amp; r &amp; ". Saisissez la réservation à partir de la colonne Bien.", vbInformation, "MG Hôte"
End Sub</t>
        </is>
      </c>
    </row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 ht="22" customHeight="1">
      <c r="A75" s="4" t="inlineStr">
        <is>
          <t>8. EXPORT PDF SANS MACRO (toujours disponible)</t>
        </is>
      </c>
    </row>
    <row r="76">
      <c r="A76" s="17" t="inlineStr">
        <is>
          <t>Sans macro, l'export PDF reste simple : ouvrez l'onglet Facture Propriétaire, Rapport Mensuel ou Synthèse Mensuelle (leur zone d'impression est déjà configurée), puis Fichier &gt; Exporter &gt; Créer un PDF/XPS. Le document généré tient sur une page, prêt à envoyer à un propriétaire.</t>
        </is>
      </c>
    </row>
    <row r="77"/>
    <row r="78"/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C7B6"/>
  <mergeCells count="44">
    <mergeCell ref="A9:H9"/>
    <mergeCell ref="A43:H45"/>
    <mergeCell ref="C10:H10"/>
    <mergeCell ref="C16:H16"/>
    <mergeCell ref="A15:B15"/>
    <mergeCell ref="A28:H30"/>
    <mergeCell ref="A11:B11"/>
    <mergeCell ref="A37:H40"/>
    <mergeCell ref="B24:H24"/>
    <mergeCell ref="A36:H36"/>
    <mergeCell ref="C12:H12"/>
    <mergeCell ref="C21:H21"/>
    <mergeCell ref="C11:H11"/>
    <mergeCell ref="C2:H2"/>
    <mergeCell ref="A16:B16"/>
    <mergeCell ref="A33:H34"/>
    <mergeCell ref="C17:H17"/>
    <mergeCell ref="A18:B18"/>
    <mergeCell ref="B25:H25"/>
    <mergeCell ref="A27:H27"/>
    <mergeCell ref="A75:H75"/>
    <mergeCell ref="A12:B12"/>
    <mergeCell ref="A21:B21"/>
    <mergeCell ref="C19:H19"/>
    <mergeCell ref="A47:H74"/>
    <mergeCell ref="C13:H13"/>
    <mergeCell ref="A42:H42"/>
    <mergeCell ref="A14:B14"/>
    <mergeCell ref="C18:H18"/>
    <mergeCell ref="A17:B17"/>
    <mergeCell ref="A1:B2"/>
    <mergeCell ref="A23:H23"/>
    <mergeCell ref="A32:H32"/>
    <mergeCell ref="C15:H15"/>
    <mergeCell ref="A4:H4"/>
    <mergeCell ref="A20:B20"/>
    <mergeCell ref="C14:H14"/>
    <mergeCell ref="A76:H78"/>
    <mergeCell ref="A19:B19"/>
    <mergeCell ref="A5:H7"/>
    <mergeCell ref="A10:B10"/>
    <mergeCell ref="A13:B13"/>
    <mergeCell ref="C20:H20"/>
    <mergeCell ref="C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4AF37"/>
    <outlinePr summaryBelow="1" summaryRight="1"/>
    <pageSetUpPr/>
  </sheetPr>
  <dimension ref="A1:T204"/>
  <sheetViews>
    <sheetView showGridLines="0" tabSelected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8" customWidth="1" min="4" max="4"/>
    <col width="13" customWidth="1" min="5" max="5"/>
    <col width="20" customWidth="1" min="6" max="6"/>
    <col width="11" customWidth="1" min="7" max="7"/>
    <col width="11" customWidth="1" min="8" max="8"/>
    <col width="8" customWidth="1" min="9" max="9"/>
    <col width="8" customWidth="1" min="10" max="10"/>
    <col width="13" customWidth="1" min="11" max="11"/>
    <col width="12" customWidth="1" min="12" max="12"/>
    <col width="12" customWidth="1" min="13" max="13"/>
    <col width="12" customWidth="1" min="14" max="14"/>
    <col width="14" customWidth="1" min="15" max="15"/>
    <col width="13" customWidth="1" min="16" max="16"/>
    <col width="13" customWidth="1" min="17" max="17"/>
    <col width="15" customWidth="1" min="18" max="18"/>
    <col width="13" customWidth="1" min="19" max="19"/>
    <col width="24" customWidth="1" min="20" max="20"/>
  </cols>
  <sheetData>
    <row r="1" ht="30" customHeight="1">
      <c r="A1" s="1" t="inlineStr">
        <is>
          <t>MG
HÔTE</t>
        </is>
      </c>
      <c r="C1" s="2" t="inlineStr">
        <is>
          <t>RÉSERVATIONS</t>
        </is>
      </c>
    </row>
    <row r="2" ht="20" customHeight="1">
      <c r="C2" s="3" t="inlineStr">
        <is>
          <t>Saisissez une ligne par réservation — les colonnes grisées se calculent automatiquement</t>
        </is>
      </c>
    </row>
    <row r="3" ht="18" customHeight="1">
      <c r="A3" s="14" t="inlineStr">
        <is>
          <t>Taux frais plateforme (Airbnb/Booking)</t>
        </is>
      </c>
      <c r="F3" s="24" t="n">
        <v>0.155</v>
      </c>
    </row>
    <row r="4" ht="34" customHeight="1">
      <c r="A4" s="9" t="inlineStr">
        <is>
          <t>ID Résa</t>
        </is>
      </c>
      <c r="B4" s="9" t="inlineStr">
        <is>
          <t>Bien</t>
        </is>
      </c>
      <c r="C4" s="9" t="inlineStr">
        <is>
          <t>Plateforme</t>
        </is>
      </c>
      <c r="D4" s="9" t="inlineStr">
        <is>
          <t>Nom voyageur</t>
        </is>
      </c>
      <c r="E4" s="9" t="inlineStr">
        <is>
          <t>Téléphone</t>
        </is>
      </c>
      <c r="F4" s="9" t="inlineStr">
        <is>
          <t>Email</t>
        </is>
      </c>
      <c r="G4" s="9" t="inlineStr">
        <is>
          <t>Date arrivée</t>
        </is>
      </c>
      <c r="H4" s="9" t="inlineStr">
        <is>
          <t>Date départ</t>
        </is>
      </c>
      <c r="I4" s="9" t="inlineStr">
        <is>
          <t>Nb nuits</t>
        </is>
      </c>
      <c r="J4" s="9" t="inlineStr">
        <is>
          <t>Nb voyageurs</t>
        </is>
      </c>
      <c r="K4" s="9" t="inlineStr">
        <is>
          <t>Prix unitaire (MAD)</t>
        </is>
      </c>
      <c r="L4" s="9" t="inlineStr">
        <is>
          <t>Prix total (MAD)</t>
        </is>
      </c>
      <c r="M4" s="9" t="inlineStr">
        <is>
          <t>Frais plateforme (MAD)</t>
        </is>
      </c>
      <c r="N4" s="9" t="inlineStr">
        <is>
          <t>Montant net (MAD)</t>
        </is>
      </c>
      <c r="O4" s="9" t="inlineStr">
        <is>
          <t>Commission MG Hôte (MAD)</t>
        </is>
      </c>
      <c r="P4" s="9" t="inlineStr">
        <is>
          <t>NET du Proprio (MAD)</t>
        </is>
      </c>
      <c r="Q4" s="9" t="inlineStr">
        <is>
          <t>Statut réservation</t>
        </is>
      </c>
      <c r="R4" s="9" t="inlineStr">
        <is>
          <t>Statut paiement voyageur</t>
        </is>
      </c>
      <c r="S4" s="9" t="inlineStr">
        <is>
          <t>Date de paiement</t>
        </is>
      </c>
      <c r="T4" s="9" t="inlineStr">
        <is>
          <t>Notes</t>
        </is>
      </c>
    </row>
    <row r="5">
      <c r="A5" s="25" t="n"/>
      <c r="B5" s="25" t="n"/>
      <c r="C5" s="25" t="n"/>
      <c r="D5" s="26" t="n"/>
      <c r="E5" s="25" t="n"/>
      <c r="F5" s="26" t="n"/>
      <c r="G5" s="27" t="n"/>
      <c r="H5" s="27" t="n"/>
      <c r="I5" s="28">
        <f>IF(OR($G5="",$H5=""),"",$H5-$G5)</f>
        <v/>
      </c>
      <c r="J5" s="29" t="n"/>
      <c r="K5" s="30" t="n"/>
      <c r="L5" s="31">
        <f>IF(OR($K5="",$I5=""),"",$K5*$I5)</f>
        <v/>
      </c>
      <c r="M5" s="31">
        <f>IF($L5="","",IF(OR($C5="Airbnb",$C5="Booking"),$L5*$F$3,0))</f>
        <v/>
      </c>
      <c r="N5" s="31">
        <f>IF($L5="","",$L5-$M5)</f>
        <v/>
      </c>
      <c r="O5" s="31">
        <f>IF($N5="","",$N5*IFERROR(INDEX(Biens!$I$5:$I$14,MATCH($B5,Biens!$A$5:$A$14,0)),0.2))</f>
        <v/>
      </c>
      <c r="P5" s="32">
        <f>IF($N5="","",$N5-$O5)</f>
        <v/>
      </c>
      <c r="Q5" s="25" t="n"/>
      <c r="R5" s="25" t="n"/>
      <c r="S5" s="27" t="n"/>
      <c r="T5" s="26" t="n"/>
    </row>
    <row r="6">
      <c r="A6" s="25" t="n"/>
      <c r="B6" s="25" t="n"/>
      <c r="C6" s="25" t="n"/>
      <c r="D6" s="26" t="n"/>
      <c r="E6" s="25" t="n"/>
      <c r="F6" s="26" t="n"/>
      <c r="G6" s="27" t="n"/>
      <c r="H6" s="27" t="n"/>
      <c r="I6" s="28">
        <f>IF(OR($G6="",$H6=""),"",$H6-$G6)</f>
        <v/>
      </c>
      <c r="J6" s="29" t="n"/>
      <c r="K6" s="30" t="n"/>
      <c r="L6" s="31">
        <f>IF(OR($K6="",$I6=""),"",$K6*$I6)</f>
        <v/>
      </c>
      <c r="M6" s="31">
        <f>IF($L6="","",IF(OR($C6="Airbnb",$C6="Booking"),$L6*$F$3,0))</f>
        <v/>
      </c>
      <c r="N6" s="31">
        <f>IF($L6="","",$L6-$M6)</f>
        <v/>
      </c>
      <c r="O6" s="31">
        <f>IF($N6="","",$N6*IFERROR(INDEX(Biens!$I$5:$I$14,MATCH($B6,Biens!$A$5:$A$14,0)),0.2))</f>
        <v/>
      </c>
      <c r="P6" s="32">
        <f>IF($N6="","",$N6-$O6)</f>
        <v/>
      </c>
      <c r="Q6" s="25" t="n"/>
      <c r="R6" s="25" t="n"/>
      <c r="S6" s="27" t="n"/>
      <c r="T6" s="26" t="n"/>
    </row>
    <row r="7">
      <c r="A7" s="25" t="n"/>
      <c r="B7" s="25" t="n"/>
      <c r="C7" s="25" t="n"/>
      <c r="D7" s="26" t="n"/>
      <c r="E7" s="25" t="n"/>
      <c r="F7" s="26" t="n"/>
      <c r="G7" s="27" t="n"/>
      <c r="H7" s="27" t="n"/>
      <c r="I7" s="28">
        <f>IF(OR($G7="",$H7=""),"",$H7-$G7)</f>
        <v/>
      </c>
      <c r="J7" s="29" t="n"/>
      <c r="K7" s="30" t="n"/>
      <c r="L7" s="31">
        <f>IF(OR($K7="",$I7=""),"",$K7*$I7)</f>
        <v/>
      </c>
      <c r="M7" s="31">
        <f>IF($L7="","",IF(OR($C7="Airbnb",$C7="Booking"),$L7*$F$3,0))</f>
        <v/>
      </c>
      <c r="N7" s="31">
        <f>IF($L7="","",$L7-$M7)</f>
        <v/>
      </c>
      <c r="O7" s="31">
        <f>IF($N7="","",$N7*IFERROR(INDEX(Biens!$I$5:$I$14,MATCH($B7,Biens!$A$5:$A$14,0)),0.2))</f>
        <v/>
      </c>
      <c r="P7" s="32">
        <f>IF($N7="","",$N7-$O7)</f>
        <v/>
      </c>
      <c r="Q7" s="25" t="n"/>
      <c r="R7" s="25" t="n"/>
      <c r="S7" s="27" t="n"/>
      <c r="T7" s="26" t="n"/>
    </row>
    <row r="8">
      <c r="A8" s="25" t="n"/>
      <c r="B8" s="25" t="n"/>
      <c r="C8" s="25" t="n"/>
      <c r="D8" s="26" t="n"/>
      <c r="E8" s="25" t="n"/>
      <c r="F8" s="26" t="n"/>
      <c r="G8" s="27" t="n"/>
      <c r="H8" s="27" t="n"/>
      <c r="I8" s="28">
        <f>IF(OR($G8="",$H8=""),"",$H8-$G8)</f>
        <v/>
      </c>
      <c r="J8" s="29" t="n"/>
      <c r="K8" s="30" t="n"/>
      <c r="L8" s="31">
        <f>IF(OR($K8="",$I8=""),"",$K8*$I8)</f>
        <v/>
      </c>
      <c r="M8" s="31">
        <f>IF($L8="","",IF(OR($C8="Airbnb",$C8="Booking"),$L8*$F$3,0))</f>
        <v/>
      </c>
      <c r="N8" s="31">
        <f>IF($L8="","",$L8-$M8)</f>
        <v/>
      </c>
      <c r="O8" s="31">
        <f>IF($N8="","",$N8*IFERROR(INDEX(Biens!$I$5:$I$14,MATCH($B8,Biens!$A$5:$A$14,0)),0.2))</f>
        <v/>
      </c>
      <c r="P8" s="32">
        <f>IF($N8="","",$N8-$O8)</f>
        <v/>
      </c>
      <c r="Q8" s="25" t="n"/>
      <c r="R8" s="25" t="n"/>
      <c r="S8" s="27" t="n"/>
      <c r="T8" s="26" t="n"/>
    </row>
    <row r="9">
      <c r="A9" s="25" t="n"/>
      <c r="B9" s="25" t="n"/>
      <c r="C9" s="25" t="n"/>
      <c r="D9" s="26" t="n"/>
      <c r="E9" s="25" t="n"/>
      <c r="F9" s="26" t="n"/>
      <c r="G9" s="27" t="n"/>
      <c r="H9" s="27" t="n"/>
      <c r="I9" s="28">
        <f>IF(OR($G9="",$H9=""),"",$H9-$G9)</f>
        <v/>
      </c>
      <c r="J9" s="29" t="n"/>
      <c r="K9" s="30" t="n"/>
      <c r="L9" s="31">
        <f>IF(OR($K9="",$I9=""),"",$K9*$I9)</f>
        <v/>
      </c>
      <c r="M9" s="31">
        <f>IF($L9="","",IF(OR($C9="Airbnb",$C9="Booking"),$L9*$F$3,0))</f>
        <v/>
      </c>
      <c r="N9" s="31">
        <f>IF($L9="","",$L9-$M9)</f>
        <v/>
      </c>
      <c r="O9" s="31">
        <f>IF($N9="","",$N9*IFERROR(INDEX(Biens!$I$5:$I$14,MATCH($B9,Biens!$A$5:$A$14,0)),0.2))</f>
        <v/>
      </c>
      <c r="P9" s="32">
        <f>IF($N9="","",$N9-$O9)</f>
        <v/>
      </c>
      <c r="Q9" s="25" t="n"/>
      <c r="R9" s="25" t="n"/>
      <c r="S9" s="27" t="n"/>
      <c r="T9" s="26" t="n"/>
    </row>
    <row r="10">
      <c r="A10" s="25" t="n"/>
      <c r="B10" s="25" t="n"/>
      <c r="C10" s="25" t="n"/>
      <c r="D10" s="26" t="n"/>
      <c r="E10" s="25" t="n"/>
      <c r="F10" s="26" t="n"/>
      <c r="G10" s="27" t="n"/>
      <c r="H10" s="27" t="n"/>
      <c r="I10" s="28">
        <f>IF(OR($G10="",$H10=""),"",$H10-$G10)</f>
        <v/>
      </c>
      <c r="J10" s="29" t="n"/>
      <c r="K10" s="30" t="n"/>
      <c r="L10" s="31">
        <f>IF(OR($K10="",$I10=""),"",$K10*$I10)</f>
        <v/>
      </c>
      <c r="M10" s="31">
        <f>IF($L10="","",IF(OR($C10="Airbnb",$C10="Booking"),$L10*$F$3,0))</f>
        <v/>
      </c>
      <c r="N10" s="31">
        <f>IF($L10="","",$L10-$M10)</f>
        <v/>
      </c>
      <c r="O10" s="31">
        <f>IF($N10="","",$N10*IFERROR(INDEX(Biens!$I$5:$I$14,MATCH($B10,Biens!$A$5:$A$14,0)),0.2))</f>
        <v/>
      </c>
      <c r="P10" s="32">
        <f>IF($N10="","",$N10-$O10)</f>
        <v/>
      </c>
      <c r="Q10" s="25" t="n"/>
      <c r="R10" s="25" t="n"/>
      <c r="S10" s="27" t="n"/>
      <c r="T10" s="26" t="n"/>
    </row>
    <row r="11">
      <c r="A11" s="25" t="n"/>
      <c r="B11" s="25" t="n"/>
      <c r="C11" s="25" t="n"/>
      <c r="D11" s="26" t="n"/>
      <c r="E11" s="25" t="n"/>
      <c r="F11" s="26" t="n"/>
      <c r="G11" s="27" t="n"/>
      <c r="H11" s="27" t="n"/>
      <c r="I11" s="28">
        <f>IF(OR($G11="",$H11=""),"",$H11-$G11)</f>
        <v/>
      </c>
      <c r="J11" s="29" t="n"/>
      <c r="K11" s="30" t="n"/>
      <c r="L11" s="31">
        <f>IF(OR($K11="",$I11=""),"",$K11*$I11)</f>
        <v/>
      </c>
      <c r="M11" s="31">
        <f>IF($L11="","",IF(OR($C11="Airbnb",$C11="Booking"),$L11*$F$3,0))</f>
        <v/>
      </c>
      <c r="N11" s="31">
        <f>IF($L11="","",$L11-$M11)</f>
        <v/>
      </c>
      <c r="O11" s="31">
        <f>IF($N11="","",$N11*IFERROR(INDEX(Biens!$I$5:$I$14,MATCH($B11,Biens!$A$5:$A$14,0)),0.2))</f>
        <v/>
      </c>
      <c r="P11" s="32">
        <f>IF($N11="","",$N11-$O11)</f>
        <v/>
      </c>
      <c r="Q11" s="25" t="n"/>
      <c r="R11" s="25" t="n"/>
      <c r="S11" s="27" t="n"/>
      <c r="T11" s="26" t="n"/>
    </row>
    <row r="12">
      <c r="A12" s="25" t="n"/>
      <c r="B12" s="25" t="n"/>
      <c r="C12" s="25" t="n"/>
      <c r="D12" s="26" t="n"/>
      <c r="E12" s="25" t="n"/>
      <c r="F12" s="26" t="n"/>
      <c r="G12" s="27" t="n"/>
      <c r="H12" s="27" t="n"/>
      <c r="I12" s="28">
        <f>IF(OR($G12="",$H12=""),"",$H12-$G12)</f>
        <v/>
      </c>
      <c r="J12" s="29" t="n"/>
      <c r="K12" s="30" t="n"/>
      <c r="L12" s="31">
        <f>IF(OR($K12="",$I12=""),"",$K12*$I12)</f>
        <v/>
      </c>
      <c r="M12" s="31">
        <f>IF($L12="","",IF(OR($C12="Airbnb",$C12="Booking"),$L12*$F$3,0))</f>
        <v/>
      </c>
      <c r="N12" s="31">
        <f>IF($L12="","",$L12-$M12)</f>
        <v/>
      </c>
      <c r="O12" s="31">
        <f>IF($N12="","",$N12*IFERROR(INDEX(Biens!$I$5:$I$14,MATCH($B12,Biens!$A$5:$A$14,0)),0.2))</f>
        <v/>
      </c>
      <c r="P12" s="32">
        <f>IF($N12="","",$N12-$O12)</f>
        <v/>
      </c>
      <c r="Q12" s="25" t="n"/>
      <c r="R12" s="25" t="n"/>
      <c r="S12" s="27" t="n"/>
      <c r="T12" s="26" t="n"/>
    </row>
    <row r="13">
      <c r="A13" s="25" t="n"/>
      <c r="B13" s="25" t="n"/>
      <c r="C13" s="25" t="n"/>
      <c r="D13" s="26" t="n"/>
      <c r="E13" s="25" t="n"/>
      <c r="F13" s="26" t="n"/>
      <c r="G13" s="27" t="n"/>
      <c r="H13" s="27" t="n"/>
      <c r="I13" s="28">
        <f>IF(OR($G13="",$H13=""),"",$H13-$G13)</f>
        <v/>
      </c>
      <c r="J13" s="29" t="n"/>
      <c r="K13" s="30" t="n"/>
      <c r="L13" s="31">
        <f>IF(OR($K13="",$I13=""),"",$K13*$I13)</f>
        <v/>
      </c>
      <c r="M13" s="31">
        <f>IF($L13="","",IF(OR($C13="Airbnb",$C13="Booking"),$L13*$F$3,0))</f>
        <v/>
      </c>
      <c r="N13" s="31">
        <f>IF($L13="","",$L13-$M13)</f>
        <v/>
      </c>
      <c r="O13" s="31">
        <f>IF($N13="","",$N13*IFERROR(INDEX(Biens!$I$5:$I$14,MATCH($B13,Biens!$A$5:$A$14,0)),0.2))</f>
        <v/>
      </c>
      <c r="P13" s="32">
        <f>IF($N13="","",$N13-$O13)</f>
        <v/>
      </c>
      <c r="Q13" s="25" t="n"/>
      <c r="R13" s="25" t="n"/>
      <c r="S13" s="27" t="n"/>
      <c r="T13" s="26" t="n"/>
    </row>
    <row r="14">
      <c r="A14" s="25" t="n"/>
      <c r="B14" s="25" t="n"/>
      <c r="C14" s="25" t="n"/>
      <c r="D14" s="26" t="n"/>
      <c r="E14" s="25" t="n"/>
      <c r="F14" s="26" t="n"/>
      <c r="G14" s="27" t="n"/>
      <c r="H14" s="27" t="n"/>
      <c r="I14" s="28">
        <f>IF(OR($G14="",$H14=""),"",$H14-$G14)</f>
        <v/>
      </c>
      <c r="J14" s="29" t="n"/>
      <c r="K14" s="30" t="n"/>
      <c r="L14" s="31">
        <f>IF(OR($K14="",$I14=""),"",$K14*$I14)</f>
        <v/>
      </c>
      <c r="M14" s="31">
        <f>IF($L14="","",IF(OR($C14="Airbnb",$C14="Booking"),$L14*$F$3,0))</f>
        <v/>
      </c>
      <c r="N14" s="31">
        <f>IF($L14="","",$L14-$M14)</f>
        <v/>
      </c>
      <c r="O14" s="31">
        <f>IF($N14="","",$N14*IFERROR(INDEX(Biens!$I$5:$I$14,MATCH($B14,Biens!$A$5:$A$14,0)),0.2))</f>
        <v/>
      </c>
      <c r="P14" s="32">
        <f>IF($N14="","",$N14-$O14)</f>
        <v/>
      </c>
      <c r="Q14" s="25" t="n"/>
      <c r="R14" s="25" t="n"/>
      <c r="S14" s="27" t="n"/>
      <c r="T14" s="26" t="n"/>
    </row>
    <row r="15">
      <c r="A15" s="25" t="n"/>
      <c r="B15" s="25" t="n"/>
      <c r="C15" s="25" t="n"/>
      <c r="D15" s="26" t="n"/>
      <c r="E15" s="25" t="n"/>
      <c r="F15" s="26" t="n"/>
      <c r="G15" s="27" t="n"/>
      <c r="H15" s="27" t="n"/>
      <c r="I15" s="28">
        <f>IF(OR($G15="",$H15=""),"",$H15-$G15)</f>
        <v/>
      </c>
      <c r="J15" s="29" t="n"/>
      <c r="K15" s="30" t="n"/>
      <c r="L15" s="31">
        <f>IF(OR($K15="",$I15=""),"",$K15*$I15)</f>
        <v/>
      </c>
      <c r="M15" s="31">
        <f>IF($L15="","",IF(OR($C15="Airbnb",$C15="Booking"),$L15*$F$3,0))</f>
        <v/>
      </c>
      <c r="N15" s="31">
        <f>IF($L15="","",$L15-$M15)</f>
        <v/>
      </c>
      <c r="O15" s="31">
        <f>IF($N15="","",$N15*IFERROR(INDEX(Biens!$I$5:$I$14,MATCH($B15,Biens!$A$5:$A$14,0)),0.2))</f>
        <v/>
      </c>
      <c r="P15" s="32">
        <f>IF($N15="","",$N15-$O15)</f>
        <v/>
      </c>
      <c r="Q15" s="25" t="n"/>
      <c r="R15" s="25" t="n"/>
      <c r="S15" s="27" t="n"/>
      <c r="T15" s="26" t="n"/>
    </row>
    <row r="16">
      <c r="A16" s="25" t="n"/>
      <c r="B16" s="25" t="n"/>
      <c r="C16" s="25" t="n"/>
      <c r="D16" s="26" t="n"/>
      <c r="E16" s="25" t="n"/>
      <c r="F16" s="26" t="n"/>
      <c r="G16" s="27" t="n"/>
      <c r="H16" s="27" t="n"/>
      <c r="I16" s="28">
        <f>IF(OR($G16="",$H16=""),"",$H16-$G16)</f>
        <v/>
      </c>
      <c r="J16" s="29" t="n"/>
      <c r="K16" s="30" t="n"/>
      <c r="L16" s="31">
        <f>IF(OR($K16="",$I16=""),"",$K16*$I16)</f>
        <v/>
      </c>
      <c r="M16" s="31">
        <f>IF($L16="","",IF(OR($C16="Airbnb",$C16="Booking"),$L16*$F$3,0))</f>
        <v/>
      </c>
      <c r="N16" s="31">
        <f>IF($L16="","",$L16-$M16)</f>
        <v/>
      </c>
      <c r="O16" s="31">
        <f>IF($N16="","",$N16*IFERROR(INDEX(Biens!$I$5:$I$14,MATCH($B16,Biens!$A$5:$A$14,0)),0.2))</f>
        <v/>
      </c>
      <c r="P16" s="32">
        <f>IF($N16="","",$N16-$O16)</f>
        <v/>
      </c>
      <c r="Q16" s="25" t="n"/>
      <c r="R16" s="25" t="n"/>
      <c r="S16" s="27" t="n"/>
      <c r="T16" s="26" t="n"/>
    </row>
    <row r="17">
      <c r="A17" s="25" t="n"/>
      <c r="B17" s="25" t="n"/>
      <c r="C17" s="25" t="n"/>
      <c r="D17" s="26" t="n"/>
      <c r="E17" s="25" t="n"/>
      <c r="F17" s="26" t="n"/>
      <c r="G17" s="27" t="n"/>
      <c r="H17" s="27" t="n"/>
      <c r="I17" s="28">
        <f>IF(OR($G17="",$H17=""),"",$H17-$G17)</f>
        <v/>
      </c>
      <c r="J17" s="29" t="n"/>
      <c r="K17" s="30" t="n"/>
      <c r="L17" s="31">
        <f>IF(OR($K17="",$I17=""),"",$K17*$I17)</f>
        <v/>
      </c>
      <c r="M17" s="31">
        <f>IF($L17="","",IF(OR($C17="Airbnb",$C17="Booking"),$L17*$F$3,0))</f>
        <v/>
      </c>
      <c r="N17" s="31">
        <f>IF($L17="","",$L17-$M17)</f>
        <v/>
      </c>
      <c r="O17" s="31">
        <f>IF($N17="","",$N17*IFERROR(INDEX(Biens!$I$5:$I$14,MATCH($B17,Biens!$A$5:$A$14,0)),0.2))</f>
        <v/>
      </c>
      <c r="P17" s="32">
        <f>IF($N17="","",$N17-$O17)</f>
        <v/>
      </c>
      <c r="Q17" s="25" t="n"/>
      <c r="R17" s="25" t="n"/>
      <c r="S17" s="27" t="n"/>
      <c r="T17" s="26" t="n"/>
    </row>
    <row r="18">
      <c r="A18" s="25" t="n"/>
      <c r="B18" s="25" t="n"/>
      <c r="C18" s="25" t="n"/>
      <c r="D18" s="26" t="n"/>
      <c r="E18" s="25" t="n"/>
      <c r="F18" s="26" t="n"/>
      <c r="G18" s="27" t="n"/>
      <c r="H18" s="27" t="n"/>
      <c r="I18" s="28">
        <f>IF(OR($G18="",$H18=""),"",$H18-$G18)</f>
        <v/>
      </c>
      <c r="J18" s="29" t="n"/>
      <c r="K18" s="30" t="n"/>
      <c r="L18" s="31">
        <f>IF(OR($K18="",$I18=""),"",$K18*$I18)</f>
        <v/>
      </c>
      <c r="M18" s="31">
        <f>IF($L18="","",IF(OR($C18="Airbnb",$C18="Booking"),$L18*$F$3,0))</f>
        <v/>
      </c>
      <c r="N18" s="31">
        <f>IF($L18="","",$L18-$M18)</f>
        <v/>
      </c>
      <c r="O18" s="31">
        <f>IF($N18="","",$N18*IFERROR(INDEX(Biens!$I$5:$I$14,MATCH($B18,Biens!$A$5:$A$14,0)),0.2))</f>
        <v/>
      </c>
      <c r="P18" s="32">
        <f>IF($N18="","",$N18-$O18)</f>
        <v/>
      </c>
      <c r="Q18" s="25" t="n"/>
      <c r="R18" s="25" t="n"/>
      <c r="S18" s="27" t="n"/>
      <c r="T18" s="26" t="n"/>
    </row>
    <row r="19">
      <c r="A19" s="25" t="n"/>
      <c r="B19" s="25" t="n"/>
      <c r="C19" s="25" t="n"/>
      <c r="D19" s="26" t="n"/>
      <c r="E19" s="25" t="n"/>
      <c r="F19" s="26" t="n"/>
      <c r="G19" s="27" t="n"/>
      <c r="H19" s="27" t="n"/>
      <c r="I19" s="28">
        <f>IF(OR($G19="",$H19=""),"",$H19-$G19)</f>
        <v/>
      </c>
      <c r="J19" s="29" t="n"/>
      <c r="K19" s="30" t="n"/>
      <c r="L19" s="31">
        <f>IF(OR($K19="",$I19=""),"",$K19*$I19)</f>
        <v/>
      </c>
      <c r="M19" s="31">
        <f>IF($L19="","",IF(OR($C19="Airbnb",$C19="Booking"),$L19*$F$3,0))</f>
        <v/>
      </c>
      <c r="N19" s="31">
        <f>IF($L19="","",$L19-$M19)</f>
        <v/>
      </c>
      <c r="O19" s="31">
        <f>IF($N19="","",$N19*IFERROR(INDEX(Biens!$I$5:$I$14,MATCH($B19,Biens!$A$5:$A$14,0)),0.2))</f>
        <v/>
      </c>
      <c r="P19" s="32">
        <f>IF($N19="","",$N19-$O19)</f>
        <v/>
      </c>
      <c r="Q19" s="25" t="n"/>
      <c r="R19" s="25" t="n"/>
      <c r="S19" s="27" t="n"/>
      <c r="T19" s="26" t="n"/>
    </row>
    <row r="20">
      <c r="A20" s="25" t="n"/>
      <c r="B20" s="25" t="n"/>
      <c r="C20" s="25" t="n"/>
      <c r="D20" s="26" t="n"/>
      <c r="E20" s="25" t="n"/>
      <c r="F20" s="26" t="n"/>
      <c r="G20" s="27" t="n"/>
      <c r="H20" s="27" t="n"/>
      <c r="I20" s="28">
        <f>IF(OR($G20="",$H20=""),"",$H20-$G20)</f>
        <v/>
      </c>
      <c r="J20" s="29" t="n"/>
      <c r="K20" s="30" t="n"/>
      <c r="L20" s="31">
        <f>IF(OR($K20="",$I20=""),"",$K20*$I20)</f>
        <v/>
      </c>
      <c r="M20" s="31">
        <f>IF($L20="","",IF(OR($C20="Airbnb",$C20="Booking"),$L20*$F$3,0))</f>
        <v/>
      </c>
      <c r="N20" s="31">
        <f>IF($L20="","",$L20-$M20)</f>
        <v/>
      </c>
      <c r="O20" s="31">
        <f>IF($N20="","",$N20*IFERROR(INDEX(Biens!$I$5:$I$14,MATCH($B20,Biens!$A$5:$A$14,0)),0.2))</f>
        <v/>
      </c>
      <c r="P20" s="32">
        <f>IF($N20="","",$N20-$O20)</f>
        <v/>
      </c>
      <c r="Q20" s="25" t="n"/>
      <c r="R20" s="25" t="n"/>
      <c r="S20" s="27" t="n"/>
      <c r="T20" s="26" t="n"/>
    </row>
    <row r="21">
      <c r="A21" s="25" t="n"/>
      <c r="B21" s="25" t="n"/>
      <c r="C21" s="25" t="n"/>
      <c r="D21" s="26" t="n"/>
      <c r="E21" s="25" t="n"/>
      <c r="F21" s="26" t="n"/>
      <c r="G21" s="27" t="n"/>
      <c r="H21" s="27" t="n"/>
      <c r="I21" s="28">
        <f>IF(OR($G21="",$H21=""),"",$H21-$G21)</f>
        <v/>
      </c>
      <c r="J21" s="29" t="n"/>
      <c r="K21" s="30" t="n"/>
      <c r="L21" s="31">
        <f>IF(OR($K21="",$I21=""),"",$K21*$I21)</f>
        <v/>
      </c>
      <c r="M21" s="31">
        <f>IF($L21="","",IF(OR($C21="Airbnb",$C21="Booking"),$L21*$F$3,0))</f>
        <v/>
      </c>
      <c r="N21" s="31">
        <f>IF($L21="","",$L21-$M21)</f>
        <v/>
      </c>
      <c r="O21" s="31">
        <f>IF($N21="","",$N21*IFERROR(INDEX(Biens!$I$5:$I$14,MATCH($B21,Biens!$A$5:$A$14,0)),0.2))</f>
        <v/>
      </c>
      <c r="P21" s="32">
        <f>IF($N21="","",$N21-$O21)</f>
        <v/>
      </c>
      <c r="Q21" s="25" t="n"/>
      <c r="R21" s="25" t="n"/>
      <c r="S21" s="27" t="n"/>
      <c r="T21" s="26" t="n"/>
    </row>
    <row r="22">
      <c r="A22" s="25" t="n"/>
      <c r="B22" s="25" t="n"/>
      <c r="C22" s="25" t="n"/>
      <c r="D22" s="26" t="n"/>
      <c r="E22" s="25" t="n"/>
      <c r="F22" s="26" t="n"/>
      <c r="G22" s="27" t="n"/>
      <c r="H22" s="27" t="n"/>
      <c r="I22" s="28">
        <f>IF(OR($G22="",$H22=""),"",$H22-$G22)</f>
        <v/>
      </c>
      <c r="J22" s="29" t="n"/>
      <c r="K22" s="30" t="n"/>
      <c r="L22" s="31">
        <f>IF(OR($K22="",$I22=""),"",$K22*$I22)</f>
        <v/>
      </c>
      <c r="M22" s="31">
        <f>IF($L22="","",IF(OR($C22="Airbnb",$C22="Booking"),$L22*$F$3,0))</f>
        <v/>
      </c>
      <c r="N22" s="31">
        <f>IF($L22="","",$L22-$M22)</f>
        <v/>
      </c>
      <c r="O22" s="31">
        <f>IF($N22="","",$N22*IFERROR(INDEX(Biens!$I$5:$I$14,MATCH($B22,Biens!$A$5:$A$14,0)),0.2))</f>
        <v/>
      </c>
      <c r="P22" s="32">
        <f>IF($N22="","",$N22-$O22)</f>
        <v/>
      </c>
      <c r="Q22" s="25" t="n"/>
      <c r="R22" s="25" t="n"/>
      <c r="S22" s="27" t="n"/>
      <c r="T22" s="26" t="n"/>
    </row>
    <row r="23">
      <c r="A23" s="25" t="n"/>
      <c r="B23" s="25" t="n"/>
      <c r="C23" s="25" t="n"/>
      <c r="D23" s="26" t="n"/>
      <c r="E23" s="25" t="n"/>
      <c r="F23" s="26" t="n"/>
      <c r="G23" s="27" t="n"/>
      <c r="H23" s="27" t="n"/>
      <c r="I23" s="28">
        <f>IF(OR($G23="",$H23=""),"",$H23-$G23)</f>
        <v/>
      </c>
      <c r="J23" s="29" t="n"/>
      <c r="K23" s="30" t="n"/>
      <c r="L23" s="31">
        <f>IF(OR($K23="",$I23=""),"",$K23*$I23)</f>
        <v/>
      </c>
      <c r="M23" s="31">
        <f>IF($L23="","",IF(OR($C23="Airbnb",$C23="Booking"),$L23*$F$3,0))</f>
        <v/>
      </c>
      <c r="N23" s="31">
        <f>IF($L23="","",$L23-$M23)</f>
        <v/>
      </c>
      <c r="O23" s="31">
        <f>IF($N23="","",$N23*IFERROR(INDEX(Biens!$I$5:$I$14,MATCH($B23,Biens!$A$5:$A$14,0)),0.2))</f>
        <v/>
      </c>
      <c r="P23" s="32">
        <f>IF($N23="","",$N23-$O23)</f>
        <v/>
      </c>
      <c r="Q23" s="25" t="n"/>
      <c r="R23" s="25" t="n"/>
      <c r="S23" s="27" t="n"/>
      <c r="T23" s="26" t="n"/>
    </row>
    <row r="24">
      <c r="A24" s="25" t="n"/>
      <c r="B24" s="25" t="n"/>
      <c r="C24" s="25" t="n"/>
      <c r="D24" s="26" t="n"/>
      <c r="E24" s="25" t="n"/>
      <c r="F24" s="26" t="n"/>
      <c r="G24" s="27" t="n"/>
      <c r="H24" s="27" t="n"/>
      <c r="I24" s="28">
        <f>IF(OR($G24="",$H24=""),"",$H24-$G24)</f>
        <v/>
      </c>
      <c r="J24" s="29" t="n"/>
      <c r="K24" s="30" t="n"/>
      <c r="L24" s="31">
        <f>IF(OR($K24="",$I24=""),"",$K24*$I24)</f>
        <v/>
      </c>
      <c r="M24" s="31">
        <f>IF($L24="","",IF(OR($C24="Airbnb",$C24="Booking"),$L24*$F$3,0))</f>
        <v/>
      </c>
      <c r="N24" s="31">
        <f>IF($L24="","",$L24-$M24)</f>
        <v/>
      </c>
      <c r="O24" s="31">
        <f>IF($N24="","",$N24*IFERROR(INDEX(Biens!$I$5:$I$14,MATCH($B24,Biens!$A$5:$A$14,0)),0.2))</f>
        <v/>
      </c>
      <c r="P24" s="32">
        <f>IF($N24="","",$N24-$O24)</f>
        <v/>
      </c>
      <c r="Q24" s="25" t="n"/>
      <c r="R24" s="25" t="n"/>
      <c r="S24" s="27" t="n"/>
      <c r="T24" s="26" t="n"/>
    </row>
    <row r="25">
      <c r="A25" s="25" t="n"/>
      <c r="B25" s="25" t="n"/>
      <c r="C25" s="25" t="n"/>
      <c r="D25" s="26" t="n"/>
      <c r="E25" s="25" t="n"/>
      <c r="F25" s="26" t="n"/>
      <c r="G25" s="27" t="n"/>
      <c r="H25" s="27" t="n"/>
      <c r="I25" s="28">
        <f>IF(OR($G25="",$H25=""),"",$H25-$G25)</f>
        <v/>
      </c>
      <c r="J25" s="29" t="n"/>
      <c r="K25" s="30" t="n"/>
      <c r="L25" s="31">
        <f>IF(OR($K25="",$I25=""),"",$K25*$I25)</f>
        <v/>
      </c>
      <c r="M25" s="31">
        <f>IF($L25="","",IF(OR($C25="Airbnb",$C25="Booking"),$L25*$F$3,0))</f>
        <v/>
      </c>
      <c r="N25" s="31">
        <f>IF($L25="","",$L25-$M25)</f>
        <v/>
      </c>
      <c r="O25" s="31">
        <f>IF($N25="","",$N25*IFERROR(INDEX(Biens!$I$5:$I$14,MATCH($B25,Biens!$A$5:$A$14,0)),0.2))</f>
        <v/>
      </c>
      <c r="P25" s="32">
        <f>IF($N25="","",$N25-$O25)</f>
        <v/>
      </c>
      <c r="Q25" s="25" t="n"/>
      <c r="R25" s="25" t="n"/>
      <c r="S25" s="27" t="n"/>
      <c r="T25" s="26" t="n"/>
    </row>
    <row r="26">
      <c r="A26" s="25" t="n"/>
      <c r="B26" s="25" t="n"/>
      <c r="C26" s="25" t="n"/>
      <c r="D26" s="26" t="n"/>
      <c r="E26" s="25" t="n"/>
      <c r="F26" s="26" t="n"/>
      <c r="G26" s="27" t="n"/>
      <c r="H26" s="27" t="n"/>
      <c r="I26" s="28">
        <f>IF(OR($G26="",$H26=""),"",$H26-$G26)</f>
        <v/>
      </c>
      <c r="J26" s="29" t="n"/>
      <c r="K26" s="30" t="n"/>
      <c r="L26" s="31">
        <f>IF(OR($K26="",$I26=""),"",$K26*$I26)</f>
        <v/>
      </c>
      <c r="M26" s="31">
        <f>IF($L26="","",IF(OR($C26="Airbnb",$C26="Booking"),$L26*$F$3,0))</f>
        <v/>
      </c>
      <c r="N26" s="31">
        <f>IF($L26="","",$L26-$M26)</f>
        <v/>
      </c>
      <c r="O26" s="31">
        <f>IF($N26="","",$N26*IFERROR(INDEX(Biens!$I$5:$I$14,MATCH($B26,Biens!$A$5:$A$14,0)),0.2))</f>
        <v/>
      </c>
      <c r="P26" s="32">
        <f>IF($N26="","",$N26-$O26)</f>
        <v/>
      </c>
      <c r="Q26" s="25" t="n"/>
      <c r="R26" s="25" t="n"/>
      <c r="S26" s="27" t="n"/>
      <c r="T26" s="26" t="n"/>
    </row>
    <row r="27">
      <c r="A27" s="25" t="n"/>
      <c r="B27" s="25" t="n"/>
      <c r="C27" s="25" t="n"/>
      <c r="D27" s="26" t="n"/>
      <c r="E27" s="25" t="n"/>
      <c r="F27" s="26" t="n"/>
      <c r="G27" s="27" t="n"/>
      <c r="H27" s="27" t="n"/>
      <c r="I27" s="28">
        <f>IF(OR($G27="",$H27=""),"",$H27-$G27)</f>
        <v/>
      </c>
      <c r="J27" s="29" t="n"/>
      <c r="K27" s="30" t="n"/>
      <c r="L27" s="31">
        <f>IF(OR($K27="",$I27=""),"",$K27*$I27)</f>
        <v/>
      </c>
      <c r="M27" s="31">
        <f>IF($L27="","",IF(OR($C27="Airbnb",$C27="Booking"),$L27*$F$3,0))</f>
        <v/>
      </c>
      <c r="N27" s="31">
        <f>IF($L27="","",$L27-$M27)</f>
        <v/>
      </c>
      <c r="O27" s="31">
        <f>IF($N27="","",$N27*IFERROR(INDEX(Biens!$I$5:$I$14,MATCH($B27,Biens!$A$5:$A$14,0)),0.2))</f>
        <v/>
      </c>
      <c r="P27" s="32">
        <f>IF($N27="","",$N27-$O27)</f>
        <v/>
      </c>
      <c r="Q27" s="25" t="n"/>
      <c r="R27" s="25" t="n"/>
      <c r="S27" s="27" t="n"/>
      <c r="T27" s="26" t="n"/>
    </row>
    <row r="28">
      <c r="A28" s="25" t="n"/>
      <c r="B28" s="25" t="n"/>
      <c r="C28" s="25" t="n"/>
      <c r="D28" s="26" t="n"/>
      <c r="E28" s="25" t="n"/>
      <c r="F28" s="26" t="n"/>
      <c r="G28" s="27" t="n"/>
      <c r="H28" s="27" t="n"/>
      <c r="I28" s="28">
        <f>IF(OR($G28="",$H28=""),"",$H28-$G28)</f>
        <v/>
      </c>
      <c r="J28" s="29" t="n"/>
      <c r="K28" s="30" t="n"/>
      <c r="L28" s="31">
        <f>IF(OR($K28="",$I28=""),"",$K28*$I28)</f>
        <v/>
      </c>
      <c r="M28" s="31">
        <f>IF($L28="","",IF(OR($C28="Airbnb",$C28="Booking"),$L28*$F$3,0))</f>
        <v/>
      </c>
      <c r="N28" s="31">
        <f>IF($L28="","",$L28-$M28)</f>
        <v/>
      </c>
      <c r="O28" s="31">
        <f>IF($N28="","",$N28*IFERROR(INDEX(Biens!$I$5:$I$14,MATCH($B28,Biens!$A$5:$A$14,0)),0.2))</f>
        <v/>
      </c>
      <c r="P28" s="32">
        <f>IF($N28="","",$N28-$O28)</f>
        <v/>
      </c>
      <c r="Q28" s="25" t="n"/>
      <c r="R28" s="25" t="n"/>
      <c r="S28" s="27" t="n"/>
      <c r="T28" s="26" t="n"/>
    </row>
    <row r="29">
      <c r="A29" s="25" t="n"/>
      <c r="B29" s="25" t="n"/>
      <c r="C29" s="25" t="n"/>
      <c r="D29" s="26" t="n"/>
      <c r="E29" s="25" t="n"/>
      <c r="F29" s="26" t="n"/>
      <c r="G29" s="27" t="n"/>
      <c r="H29" s="27" t="n"/>
      <c r="I29" s="28">
        <f>IF(OR($G29="",$H29=""),"",$H29-$G29)</f>
        <v/>
      </c>
      <c r="J29" s="29" t="n"/>
      <c r="K29" s="30" t="n"/>
      <c r="L29" s="31">
        <f>IF(OR($K29="",$I29=""),"",$K29*$I29)</f>
        <v/>
      </c>
      <c r="M29" s="31">
        <f>IF($L29="","",IF(OR($C29="Airbnb",$C29="Booking"),$L29*$F$3,0))</f>
        <v/>
      </c>
      <c r="N29" s="31">
        <f>IF($L29="","",$L29-$M29)</f>
        <v/>
      </c>
      <c r="O29" s="31">
        <f>IF($N29="","",$N29*IFERROR(INDEX(Biens!$I$5:$I$14,MATCH($B29,Biens!$A$5:$A$14,0)),0.2))</f>
        <v/>
      </c>
      <c r="P29" s="32">
        <f>IF($N29="","",$N29-$O29)</f>
        <v/>
      </c>
      <c r="Q29" s="25" t="n"/>
      <c r="R29" s="25" t="n"/>
      <c r="S29" s="27" t="n"/>
      <c r="T29" s="26" t="n"/>
    </row>
    <row r="30">
      <c r="A30" s="25" t="n"/>
      <c r="B30" s="25" t="n"/>
      <c r="C30" s="25" t="n"/>
      <c r="D30" s="26" t="n"/>
      <c r="E30" s="25" t="n"/>
      <c r="F30" s="26" t="n"/>
      <c r="G30" s="27" t="n"/>
      <c r="H30" s="27" t="n"/>
      <c r="I30" s="28">
        <f>IF(OR($G30="",$H30=""),"",$H30-$G30)</f>
        <v/>
      </c>
      <c r="J30" s="29" t="n"/>
      <c r="K30" s="30" t="n"/>
      <c r="L30" s="31">
        <f>IF(OR($K30="",$I30=""),"",$K30*$I30)</f>
        <v/>
      </c>
      <c r="M30" s="31">
        <f>IF($L30="","",IF(OR($C30="Airbnb",$C30="Booking"),$L30*$F$3,0))</f>
        <v/>
      </c>
      <c r="N30" s="31">
        <f>IF($L30="","",$L30-$M30)</f>
        <v/>
      </c>
      <c r="O30" s="31">
        <f>IF($N30="","",$N30*IFERROR(INDEX(Biens!$I$5:$I$14,MATCH($B30,Biens!$A$5:$A$14,0)),0.2))</f>
        <v/>
      </c>
      <c r="P30" s="32">
        <f>IF($N30="","",$N30-$O30)</f>
        <v/>
      </c>
      <c r="Q30" s="25" t="n"/>
      <c r="R30" s="25" t="n"/>
      <c r="S30" s="27" t="n"/>
      <c r="T30" s="26" t="n"/>
    </row>
    <row r="31">
      <c r="A31" s="25" t="n"/>
      <c r="B31" s="25" t="n"/>
      <c r="C31" s="25" t="n"/>
      <c r="D31" s="26" t="n"/>
      <c r="E31" s="25" t="n"/>
      <c r="F31" s="26" t="n"/>
      <c r="G31" s="27" t="n"/>
      <c r="H31" s="27" t="n"/>
      <c r="I31" s="28">
        <f>IF(OR($G31="",$H31=""),"",$H31-$G31)</f>
        <v/>
      </c>
      <c r="J31" s="29" t="n"/>
      <c r="K31" s="30" t="n"/>
      <c r="L31" s="31">
        <f>IF(OR($K31="",$I31=""),"",$K31*$I31)</f>
        <v/>
      </c>
      <c r="M31" s="31">
        <f>IF($L31="","",IF(OR($C31="Airbnb",$C31="Booking"),$L31*$F$3,0))</f>
        <v/>
      </c>
      <c r="N31" s="31">
        <f>IF($L31="","",$L31-$M31)</f>
        <v/>
      </c>
      <c r="O31" s="31">
        <f>IF($N31="","",$N31*IFERROR(INDEX(Biens!$I$5:$I$14,MATCH($B31,Biens!$A$5:$A$14,0)),0.2))</f>
        <v/>
      </c>
      <c r="P31" s="32">
        <f>IF($N31="","",$N31-$O31)</f>
        <v/>
      </c>
      <c r="Q31" s="25" t="n"/>
      <c r="R31" s="25" t="n"/>
      <c r="S31" s="27" t="n"/>
      <c r="T31" s="26" t="n"/>
    </row>
    <row r="32">
      <c r="A32" s="25" t="n"/>
      <c r="B32" s="25" t="n"/>
      <c r="C32" s="25" t="n"/>
      <c r="D32" s="26" t="n"/>
      <c r="E32" s="25" t="n"/>
      <c r="F32" s="26" t="n"/>
      <c r="G32" s="27" t="n"/>
      <c r="H32" s="27" t="n"/>
      <c r="I32" s="28">
        <f>IF(OR($G32="",$H32=""),"",$H32-$G32)</f>
        <v/>
      </c>
      <c r="J32" s="29" t="n"/>
      <c r="K32" s="30" t="n"/>
      <c r="L32" s="31">
        <f>IF(OR($K32="",$I32=""),"",$K32*$I32)</f>
        <v/>
      </c>
      <c r="M32" s="31">
        <f>IF($L32="","",IF(OR($C32="Airbnb",$C32="Booking"),$L32*$F$3,0))</f>
        <v/>
      </c>
      <c r="N32" s="31">
        <f>IF($L32="","",$L32-$M32)</f>
        <v/>
      </c>
      <c r="O32" s="31">
        <f>IF($N32="","",$N32*IFERROR(INDEX(Biens!$I$5:$I$14,MATCH($B32,Biens!$A$5:$A$14,0)),0.2))</f>
        <v/>
      </c>
      <c r="P32" s="32">
        <f>IF($N32="","",$N32-$O32)</f>
        <v/>
      </c>
      <c r="Q32" s="25" t="n"/>
      <c r="R32" s="25" t="n"/>
      <c r="S32" s="27" t="n"/>
      <c r="T32" s="26" t="n"/>
    </row>
    <row r="33">
      <c r="A33" s="25" t="n"/>
      <c r="B33" s="25" t="n"/>
      <c r="C33" s="25" t="n"/>
      <c r="D33" s="26" t="n"/>
      <c r="E33" s="25" t="n"/>
      <c r="F33" s="26" t="n"/>
      <c r="G33" s="27" t="n"/>
      <c r="H33" s="27" t="n"/>
      <c r="I33" s="28">
        <f>IF(OR($G33="",$H33=""),"",$H33-$G33)</f>
        <v/>
      </c>
      <c r="J33" s="29" t="n"/>
      <c r="K33" s="30" t="n"/>
      <c r="L33" s="31">
        <f>IF(OR($K33="",$I33=""),"",$K33*$I33)</f>
        <v/>
      </c>
      <c r="M33" s="31">
        <f>IF($L33="","",IF(OR($C33="Airbnb",$C33="Booking"),$L33*$F$3,0))</f>
        <v/>
      </c>
      <c r="N33" s="31">
        <f>IF($L33="","",$L33-$M33)</f>
        <v/>
      </c>
      <c r="O33" s="31">
        <f>IF($N33="","",$N33*IFERROR(INDEX(Biens!$I$5:$I$14,MATCH($B33,Biens!$A$5:$A$14,0)),0.2))</f>
        <v/>
      </c>
      <c r="P33" s="32">
        <f>IF($N33="","",$N33-$O33)</f>
        <v/>
      </c>
      <c r="Q33" s="25" t="n"/>
      <c r="R33" s="25" t="n"/>
      <c r="S33" s="27" t="n"/>
      <c r="T33" s="26" t="n"/>
    </row>
    <row r="34">
      <c r="A34" s="25" t="n"/>
      <c r="B34" s="25" t="n"/>
      <c r="C34" s="25" t="n"/>
      <c r="D34" s="26" t="n"/>
      <c r="E34" s="25" t="n"/>
      <c r="F34" s="26" t="n"/>
      <c r="G34" s="27" t="n"/>
      <c r="H34" s="27" t="n"/>
      <c r="I34" s="28">
        <f>IF(OR($G34="",$H34=""),"",$H34-$G34)</f>
        <v/>
      </c>
      <c r="J34" s="29" t="n"/>
      <c r="K34" s="30" t="n"/>
      <c r="L34" s="31">
        <f>IF(OR($K34="",$I34=""),"",$K34*$I34)</f>
        <v/>
      </c>
      <c r="M34" s="31">
        <f>IF($L34="","",IF(OR($C34="Airbnb",$C34="Booking"),$L34*$F$3,0))</f>
        <v/>
      </c>
      <c r="N34" s="31">
        <f>IF($L34="","",$L34-$M34)</f>
        <v/>
      </c>
      <c r="O34" s="31">
        <f>IF($N34="","",$N34*IFERROR(INDEX(Biens!$I$5:$I$14,MATCH($B34,Biens!$A$5:$A$14,0)),0.2))</f>
        <v/>
      </c>
      <c r="P34" s="32">
        <f>IF($N34="","",$N34-$O34)</f>
        <v/>
      </c>
      <c r="Q34" s="25" t="n"/>
      <c r="R34" s="25" t="n"/>
      <c r="S34" s="27" t="n"/>
      <c r="T34" s="26" t="n"/>
    </row>
    <row r="35">
      <c r="A35" s="25" t="n"/>
      <c r="B35" s="25" t="n"/>
      <c r="C35" s="25" t="n"/>
      <c r="D35" s="26" t="n"/>
      <c r="E35" s="25" t="n"/>
      <c r="F35" s="26" t="n"/>
      <c r="G35" s="27" t="n"/>
      <c r="H35" s="27" t="n"/>
      <c r="I35" s="28">
        <f>IF(OR($G35="",$H35=""),"",$H35-$G35)</f>
        <v/>
      </c>
      <c r="J35" s="29" t="n"/>
      <c r="K35" s="30" t="n"/>
      <c r="L35" s="31">
        <f>IF(OR($K35="",$I35=""),"",$K35*$I35)</f>
        <v/>
      </c>
      <c r="M35" s="31">
        <f>IF($L35="","",IF(OR($C35="Airbnb",$C35="Booking"),$L35*$F$3,0))</f>
        <v/>
      </c>
      <c r="N35" s="31">
        <f>IF($L35="","",$L35-$M35)</f>
        <v/>
      </c>
      <c r="O35" s="31">
        <f>IF($N35="","",$N35*IFERROR(INDEX(Biens!$I$5:$I$14,MATCH($B35,Biens!$A$5:$A$14,0)),0.2))</f>
        <v/>
      </c>
      <c r="P35" s="32">
        <f>IF($N35="","",$N35-$O35)</f>
        <v/>
      </c>
      <c r="Q35" s="25" t="n"/>
      <c r="R35" s="25" t="n"/>
      <c r="S35" s="27" t="n"/>
      <c r="T35" s="26" t="n"/>
    </row>
    <row r="36">
      <c r="A36" s="25" t="n"/>
      <c r="B36" s="25" t="n"/>
      <c r="C36" s="25" t="n"/>
      <c r="D36" s="26" t="n"/>
      <c r="E36" s="25" t="n"/>
      <c r="F36" s="26" t="n"/>
      <c r="G36" s="27" t="n"/>
      <c r="H36" s="27" t="n"/>
      <c r="I36" s="28">
        <f>IF(OR($G36="",$H36=""),"",$H36-$G36)</f>
        <v/>
      </c>
      <c r="J36" s="29" t="n"/>
      <c r="K36" s="30" t="n"/>
      <c r="L36" s="31">
        <f>IF(OR($K36="",$I36=""),"",$K36*$I36)</f>
        <v/>
      </c>
      <c r="M36" s="31">
        <f>IF($L36="","",IF(OR($C36="Airbnb",$C36="Booking"),$L36*$F$3,0))</f>
        <v/>
      </c>
      <c r="N36" s="31">
        <f>IF($L36="","",$L36-$M36)</f>
        <v/>
      </c>
      <c r="O36" s="31">
        <f>IF($N36="","",$N36*IFERROR(INDEX(Biens!$I$5:$I$14,MATCH($B36,Biens!$A$5:$A$14,0)),0.2))</f>
        <v/>
      </c>
      <c r="P36" s="32">
        <f>IF($N36="","",$N36-$O36)</f>
        <v/>
      </c>
      <c r="Q36" s="25" t="n"/>
      <c r="R36" s="25" t="n"/>
      <c r="S36" s="27" t="n"/>
      <c r="T36" s="26" t="n"/>
    </row>
    <row r="37">
      <c r="A37" s="25" t="n"/>
      <c r="B37" s="25" t="n"/>
      <c r="C37" s="25" t="n"/>
      <c r="D37" s="26" t="n"/>
      <c r="E37" s="25" t="n"/>
      <c r="F37" s="26" t="n"/>
      <c r="G37" s="27" t="n"/>
      <c r="H37" s="27" t="n"/>
      <c r="I37" s="28">
        <f>IF(OR($G37="",$H37=""),"",$H37-$G37)</f>
        <v/>
      </c>
      <c r="J37" s="29" t="n"/>
      <c r="K37" s="30" t="n"/>
      <c r="L37" s="31">
        <f>IF(OR($K37="",$I37=""),"",$K37*$I37)</f>
        <v/>
      </c>
      <c r="M37" s="31">
        <f>IF($L37="","",IF(OR($C37="Airbnb",$C37="Booking"),$L37*$F$3,0))</f>
        <v/>
      </c>
      <c r="N37" s="31">
        <f>IF($L37="","",$L37-$M37)</f>
        <v/>
      </c>
      <c r="O37" s="31">
        <f>IF($N37="","",$N37*IFERROR(INDEX(Biens!$I$5:$I$14,MATCH($B37,Biens!$A$5:$A$14,0)),0.2))</f>
        <v/>
      </c>
      <c r="P37" s="32">
        <f>IF($N37="","",$N37-$O37)</f>
        <v/>
      </c>
      <c r="Q37" s="25" t="n"/>
      <c r="R37" s="25" t="n"/>
      <c r="S37" s="27" t="n"/>
      <c r="T37" s="26" t="n"/>
    </row>
    <row r="38">
      <c r="A38" s="25" t="n"/>
      <c r="B38" s="25" t="n"/>
      <c r="C38" s="25" t="n"/>
      <c r="D38" s="26" t="n"/>
      <c r="E38" s="25" t="n"/>
      <c r="F38" s="26" t="n"/>
      <c r="G38" s="27" t="n"/>
      <c r="H38" s="27" t="n"/>
      <c r="I38" s="28">
        <f>IF(OR($G38="",$H38=""),"",$H38-$G38)</f>
        <v/>
      </c>
      <c r="J38" s="29" t="n"/>
      <c r="K38" s="30" t="n"/>
      <c r="L38" s="31">
        <f>IF(OR($K38="",$I38=""),"",$K38*$I38)</f>
        <v/>
      </c>
      <c r="M38" s="31">
        <f>IF($L38="","",IF(OR($C38="Airbnb",$C38="Booking"),$L38*$F$3,0))</f>
        <v/>
      </c>
      <c r="N38" s="31">
        <f>IF($L38="","",$L38-$M38)</f>
        <v/>
      </c>
      <c r="O38" s="31">
        <f>IF($N38="","",$N38*IFERROR(INDEX(Biens!$I$5:$I$14,MATCH($B38,Biens!$A$5:$A$14,0)),0.2))</f>
        <v/>
      </c>
      <c r="P38" s="32">
        <f>IF($N38="","",$N38-$O38)</f>
        <v/>
      </c>
      <c r="Q38" s="25" t="n"/>
      <c r="R38" s="25" t="n"/>
      <c r="S38" s="27" t="n"/>
      <c r="T38" s="26" t="n"/>
    </row>
    <row r="39">
      <c r="A39" s="25" t="n"/>
      <c r="B39" s="25" t="n"/>
      <c r="C39" s="25" t="n"/>
      <c r="D39" s="26" t="n"/>
      <c r="E39" s="25" t="n"/>
      <c r="F39" s="26" t="n"/>
      <c r="G39" s="27" t="n"/>
      <c r="H39" s="27" t="n"/>
      <c r="I39" s="28">
        <f>IF(OR($G39="",$H39=""),"",$H39-$G39)</f>
        <v/>
      </c>
      <c r="J39" s="29" t="n"/>
      <c r="K39" s="30" t="n"/>
      <c r="L39" s="31">
        <f>IF(OR($K39="",$I39=""),"",$K39*$I39)</f>
        <v/>
      </c>
      <c r="M39" s="31">
        <f>IF($L39="","",IF(OR($C39="Airbnb",$C39="Booking"),$L39*$F$3,0))</f>
        <v/>
      </c>
      <c r="N39" s="31">
        <f>IF($L39="","",$L39-$M39)</f>
        <v/>
      </c>
      <c r="O39" s="31">
        <f>IF($N39="","",$N39*IFERROR(INDEX(Biens!$I$5:$I$14,MATCH($B39,Biens!$A$5:$A$14,0)),0.2))</f>
        <v/>
      </c>
      <c r="P39" s="32">
        <f>IF($N39="","",$N39-$O39)</f>
        <v/>
      </c>
      <c r="Q39" s="25" t="n"/>
      <c r="R39" s="25" t="n"/>
      <c r="S39" s="27" t="n"/>
      <c r="T39" s="26" t="n"/>
    </row>
    <row r="40">
      <c r="A40" s="25" t="n"/>
      <c r="B40" s="25" t="n"/>
      <c r="C40" s="25" t="n"/>
      <c r="D40" s="26" t="n"/>
      <c r="E40" s="25" t="n"/>
      <c r="F40" s="26" t="n"/>
      <c r="G40" s="27" t="n"/>
      <c r="H40" s="27" t="n"/>
      <c r="I40" s="28">
        <f>IF(OR($G40="",$H40=""),"",$H40-$G40)</f>
        <v/>
      </c>
      <c r="J40" s="29" t="n"/>
      <c r="K40" s="30" t="n"/>
      <c r="L40" s="31">
        <f>IF(OR($K40="",$I40=""),"",$K40*$I40)</f>
        <v/>
      </c>
      <c r="M40" s="31">
        <f>IF($L40="","",IF(OR($C40="Airbnb",$C40="Booking"),$L40*$F$3,0))</f>
        <v/>
      </c>
      <c r="N40" s="31">
        <f>IF($L40="","",$L40-$M40)</f>
        <v/>
      </c>
      <c r="O40" s="31">
        <f>IF($N40="","",$N40*IFERROR(INDEX(Biens!$I$5:$I$14,MATCH($B40,Biens!$A$5:$A$14,0)),0.2))</f>
        <v/>
      </c>
      <c r="P40" s="32">
        <f>IF($N40="","",$N40-$O40)</f>
        <v/>
      </c>
      <c r="Q40" s="25" t="n"/>
      <c r="R40" s="25" t="n"/>
      <c r="S40" s="27" t="n"/>
      <c r="T40" s="26" t="n"/>
    </row>
    <row r="41">
      <c r="A41" s="25" t="n"/>
      <c r="B41" s="25" t="n"/>
      <c r="C41" s="25" t="n"/>
      <c r="D41" s="26" t="n"/>
      <c r="E41" s="25" t="n"/>
      <c r="F41" s="26" t="n"/>
      <c r="G41" s="27" t="n"/>
      <c r="H41" s="27" t="n"/>
      <c r="I41" s="28">
        <f>IF(OR($G41="",$H41=""),"",$H41-$G41)</f>
        <v/>
      </c>
      <c r="J41" s="29" t="n"/>
      <c r="K41" s="30" t="n"/>
      <c r="L41" s="31">
        <f>IF(OR($K41="",$I41=""),"",$K41*$I41)</f>
        <v/>
      </c>
      <c r="M41" s="31">
        <f>IF($L41="","",IF(OR($C41="Airbnb",$C41="Booking"),$L41*$F$3,0))</f>
        <v/>
      </c>
      <c r="N41" s="31">
        <f>IF($L41="","",$L41-$M41)</f>
        <v/>
      </c>
      <c r="O41" s="31">
        <f>IF($N41="","",$N41*IFERROR(INDEX(Biens!$I$5:$I$14,MATCH($B41,Biens!$A$5:$A$14,0)),0.2))</f>
        <v/>
      </c>
      <c r="P41" s="32">
        <f>IF($N41="","",$N41-$O41)</f>
        <v/>
      </c>
      <c r="Q41" s="25" t="n"/>
      <c r="R41" s="25" t="n"/>
      <c r="S41" s="27" t="n"/>
      <c r="T41" s="26" t="n"/>
    </row>
    <row r="42">
      <c r="A42" s="25" t="n"/>
      <c r="B42" s="25" t="n"/>
      <c r="C42" s="25" t="n"/>
      <c r="D42" s="26" t="n"/>
      <c r="E42" s="25" t="n"/>
      <c r="F42" s="26" t="n"/>
      <c r="G42" s="27" t="n"/>
      <c r="H42" s="27" t="n"/>
      <c r="I42" s="28">
        <f>IF(OR($G42="",$H42=""),"",$H42-$G42)</f>
        <v/>
      </c>
      <c r="J42" s="29" t="n"/>
      <c r="K42" s="30" t="n"/>
      <c r="L42" s="31">
        <f>IF(OR($K42="",$I42=""),"",$K42*$I42)</f>
        <v/>
      </c>
      <c r="M42" s="31">
        <f>IF($L42="","",IF(OR($C42="Airbnb",$C42="Booking"),$L42*$F$3,0))</f>
        <v/>
      </c>
      <c r="N42" s="31">
        <f>IF($L42="","",$L42-$M42)</f>
        <v/>
      </c>
      <c r="O42" s="31">
        <f>IF($N42="","",$N42*IFERROR(INDEX(Biens!$I$5:$I$14,MATCH($B42,Biens!$A$5:$A$14,0)),0.2))</f>
        <v/>
      </c>
      <c r="P42" s="32">
        <f>IF($N42="","",$N42-$O42)</f>
        <v/>
      </c>
      <c r="Q42" s="25" t="n"/>
      <c r="R42" s="25" t="n"/>
      <c r="S42" s="27" t="n"/>
      <c r="T42" s="26" t="n"/>
    </row>
    <row r="43">
      <c r="A43" s="25" t="n"/>
      <c r="B43" s="25" t="n"/>
      <c r="C43" s="25" t="n"/>
      <c r="D43" s="26" t="n"/>
      <c r="E43" s="25" t="n"/>
      <c r="F43" s="26" t="n"/>
      <c r="G43" s="27" t="n"/>
      <c r="H43" s="27" t="n"/>
      <c r="I43" s="28">
        <f>IF(OR($G43="",$H43=""),"",$H43-$G43)</f>
        <v/>
      </c>
      <c r="J43" s="29" t="n"/>
      <c r="K43" s="30" t="n"/>
      <c r="L43" s="31">
        <f>IF(OR($K43="",$I43=""),"",$K43*$I43)</f>
        <v/>
      </c>
      <c r="M43" s="31">
        <f>IF($L43="","",IF(OR($C43="Airbnb",$C43="Booking"),$L43*$F$3,0))</f>
        <v/>
      </c>
      <c r="N43" s="31">
        <f>IF($L43="","",$L43-$M43)</f>
        <v/>
      </c>
      <c r="O43" s="31">
        <f>IF($N43="","",$N43*IFERROR(INDEX(Biens!$I$5:$I$14,MATCH($B43,Biens!$A$5:$A$14,0)),0.2))</f>
        <v/>
      </c>
      <c r="P43" s="32">
        <f>IF($N43="","",$N43-$O43)</f>
        <v/>
      </c>
      <c r="Q43" s="25" t="n"/>
      <c r="R43" s="25" t="n"/>
      <c r="S43" s="27" t="n"/>
      <c r="T43" s="26" t="n"/>
    </row>
    <row r="44">
      <c r="A44" s="25" t="n"/>
      <c r="B44" s="25" t="n"/>
      <c r="C44" s="25" t="n"/>
      <c r="D44" s="26" t="n"/>
      <c r="E44" s="25" t="n"/>
      <c r="F44" s="26" t="n"/>
      <c r="G44" s="27" t="n"/>
      <c r="H44" s="27" t="n"/>
      <c r="I44" s="28">
        <f>IF(OR($G44="",$H44=""),"",$H44-$G44)</f>
        <v/>
      </c>
      <c r="J44" s="29" t="n"/>
      <c r="K44" s="30" t="n"/>
      <c r="L44" s="31">
        <f>IF(OR($K44="",$I44=""),"",$K44*$I44)</f>
        <v/>
      </c>
      <c r="M44" s="31">
        <f>IF($L44="","",IF(OR($C44="Airbnb",$C44="Booking"),$L44*$F$3,0))</f>
        <v/>
      </c>
      <c r="N44" s="31">
        <f>IF($L44="","",$L44-$M44)</f>
        <v/>
      </c>
      <c r="O44" s="31">
        <f>IF($N44="","",$N44*IFERROR(INDEX(Biens!$I$5:$I$14,MATCH($B44,Biens!$A$5:$A$14,0)),0.2))</f>
        <v/>
      </c>
      <c r="P44" s="32">
        <f>IF($N44="","",$N44-$O44)</f>
        <v/>
      </c>
      <c r="Q44" s="25" t="n"/>
      <c r="R44" s="25" t="n"/>
      <c r="S44" s="27" t="n"/>
      <c r="T44" s="26" t="n"/>
    </row>
    <row r="45">
      <c r="A45" s="25" t="n"/>
      <c r="B45" s="25" t="n"/>
      <c r="C45" s="25" t="n"/>
      <c r="D45" s="26" t="n"/>
      <c r="E45" s="25" t="n"/>
      <c r="F45" s="26" t="n"/>
      <c r="G45" s="27" t="n"/>
      <c r="H45" s="27" t="n"/>
      <c r="I45" s="28">
        <f>IF(OR($G45="",$H45=""),"",$H45-$G45)</f>
        <v/>
      </c>
      <c r="J45" s="29" t="n"/>
      <c r="K45" s="30" t="n"/>
      <c r="L45" s="31">
        <f>IF(OR($K45="",$I45=""),"",$K45*$I45)</f>
        <v/>
      </c>
      <c r="M45" s="31">
        <f>IF($L45="","",IF(OR($C45="Airbnb",$C45="Booking"),$L45*$F$3,0))</f>
        <v/>
      </c>
      <c r="N45" s="31">
        <f>IF($L45="","",$L45-$M45)</f>
        <v/>
      </c>
      <c r="O45" s="31">
        <f>IF($N45="","",$N45*IFERROR(INDEX(Biens!$I$5:$I$14,MATCH($B45,Biens!$A$5:$A$14,0)),0.2))</f>
        <v/>
      </c>
      <c r="P45" s="32">
        <f>IF($N45="","",$N45-$O45)</f>
        <v/>
      </c>
      <c r="Q45" s="25" t="n"/>
      <c r="R45" s="25" t="n"/>
      <c r="S45" s="27" t="n"/>
      <c r="T45" s="26" t="n"/>
    </row>
    <row r="46">
      <c r="A46" s="25" t="n"/>
      <c r="B46" s="25" t="n"/>
      <c r="C46" s="25" t="n"/>
      <c r="D46" s="26" t="n"/>
      <c r="E46" s="25" t="n"/>
      <c r="F46" s="26" t="n"/>
      <c r="G46" s="27" t="n"/>
      <c r="H46" s="27" t="n"/>
      <c r="I46" s="28">
        <f>IF(OR($G46="",$H46=""),"",$H46-$G46)</f>
        <v/>
      </c>
      <c r="J46" s="29" t="n"/>
      <c r="K46" s="30" t="n"/>
      <c r="L46" s="31">
        <f>IF(OR($K46="",$I46=""),"",$K46*$I46)</f>
        <v/>
      </c>
      <c r="M46" s="31">
        <f>IF($L46="","",IF(OR($C46="Airbnb",$C46="Booking"),$L46*$F$3,0))</f>
        <v/>
      </c>
      <c r="N46" s="31">
        <f>IF($L46="","",$L46-$M46)</f>
        <v/>
      </c>
      <c r="O46" s="31">
        <f>IF($N46="","",$N46*IFERROR(INDEX(Biens!$I$5:$I$14,MATCH($B46,Biens!$A$5:$A$14,0)),0.2))</f>
        <v/>
      </c>
      <c r="P46" s="32">
        <f>IF($N46="","",$N46-$O46)</f>
        <v/>
      </c>
      <c r="Q46" s="25" t="n"/>
      <c r="R46" s="25" t="n"/>
      <c r="S46" s="27" t="n"/>
      <c r="T46" s="26" t="n"/>
    </row>
    <row r="47">
      <c r="A47" s="25" t="n"/>
      <c r="B47" s="25" t="n"/>
      <c r="C47" s="25" t="n"/>
      <c r="D47" s="26" t="n"/>
      <c r="E47" s="25" t="n"/>
      <c r="F47" s="26" t="n"/>
      <c r="G47" s="27" t="n"/>
      <c r="H47" s="27" t="n"/>
      <c r="I47" s="28">
        <f>IF(OR($G47="",$H47=""),"",$H47-$G47)</f>
        <v/>
      </c>
      <c r="J47" s="29" t="n"/>
      <c r="K47" s="30" t="n"/>
      <c r="L47" s="31">
        <f>IF(OR($K47="",$I47=""),"",$K47*$I47)</f>
        <v/>
      </c>
      <c r="M47" s="31">
        <f>IF($L47="","",IF(OR($C47="Airbnb",$C47="Booking"),$L47*$F$3,0))</f>
        <v/>
      </c>
      <c r="N47" s="31">
        <f>IF($L47="","",$L47-$M47)</f>
        <v/>
      </c>
      <c r="O47" s="31">
        <f>IF($N47="","",$N47*IFERROR(INDEX(Biens!$I$5:$I$14,MATCH($B47,Biens!$A$5:$A$14,0)),0.2))</f>
        <v/>
      </c>
      <c r="P47" s="32">
        <f>IF($N47="","",$N47-$O47)</f>
        <v/>
      </c>
      <c r="Q47" s="25" t="n"/>
      <c r="R47" s="25" t="n"/>
      <c r="S47" s="27" t="n"/>
      <c r="T47" s="26" t="n"/>
    </row>
    <row r="48">
      <c r="A48" s="25" t="n"/>
      <c r="B48" s="25" t="n"/>
      <c r="C48" s="25" t="n"/>
      <c r="D48" s="26" t="n"/>
      <c r="E48" s="25" t="n"/>
      <c r="F48" s="26" t="n"/>
      <c r="G48" s="27" t="n"/>
      <c r="H48" s="27" t="n"/>
      <c r="I48" s="28">
        <f>IF(OR($G48="",$H48=""),"",$H48-$G48)</f>
        <v/>
      </c>
      <c r="J48" s="29" t="n"/>
      <c r="K48" s="30" t="n"/>
      <c r="L48" s="31">
        <f>IF(OR($K48="",$I48=""),"",$K48*$I48)</f>
        <v/>
      </c>
      <c r="M48" s="31">
        <f>IF($L48="","",IF(OR($C48="Airbnb",$C48="Booking"),$L48*$F$3,0))</f>
        <v/>
      </c>
      <c r="N48" s="31">
        <f>IF($L48="","",$L48-$M48)</f>
        <v/>
      </c>
      <c r="O48" s="31">
        <f>IF($N48="","",$N48*IFERROR(INDEX(Biens!$I$5:$I$14,MATCH($B48,Biens!$A$5:$A$14,0)),0.2))</f>
        <v/>
      </c>
      <c r="P48" s="32">
        <f>IF($N48="","",$N48-$O48)</f>
        <v/>
      </c>
      <c r="Q48" s="25" t="n"/>
      <c r="R48" s="25" t="n"/>
      <c r="S48" s="27" t="n"/>
      <c r="T48" s="26" t="n"/>
    </row>
    <row r="49">
      <c r="A49" s="25" t="n"/>
      <c r="B49" s="25" t="n"/>
      <c r="C49" s="25" t="n"/>
      <c r="D49" s="26" t="n"/>
      <c r="E49" s="25" t="n"/>
      <c r="F49" s="26" t="n"/>
      <c r="G49" s="27" t="n"/>
      <c r="H49" s="27" t="n"/>
      <c r="I49" s="28">
        <f>IF(OR($G49="",$H49=""),"",$H49-$G49)</f>
        <v/>
      </c>
      <c r="J49" s="29" t="n"/>
      <c r="K49" s="30" t="n"/>
      <c r="L49" s="31">
        <f>IF(OR($K49="",$I49=""),"",$K49*$I49)</f>
        <v/>
      </c>
      <c r="M49" s="31">
        <f>IF($L49="","",IF(OR($C49="Airbnb",$C49="Booking"),$L49*$F$3,0))</f>
        <v/>
      </c>
      <c r="N49" s="31">
        <f>IF($L49="","",$L49-$M49)</f>
        <v/>
      </c>
      <c r="O49" s="31">
        <f>IF($N49="","",$N49*IFERROR(INDEX(Biens!$I$5:$I$14,MATCH($B49,Biens!$A$5:$A$14,0)),0.2))</f>
        <v/>
      </c>
      <c r="P49" s="32">
        <f>IF($N49="","",$N49-$O49)</f>
        <v/>
      </c>
      <c r="Q49" s="25" t="n"/>
      <c r="R49" s="25" t="n"/>
      <c r="S49" s="27" t="n"/>
      <c r="T49" s="26" t="n"/>
    </row>
    <row r="50">
      <c r="A50" s="25" t="n"/>
      <c r="B50" s="25" t="n"/>
      <c r="C50" s="25" t="n"/>
      <c r="D50" s="26" t="n"/>
      <c r="E50" s="25" t="n"/>
      <c r="F50" s="26" t="n"/>
      <c r="G50" s="27" t="n"/>
      <c r="H50" s="27" t="n"/>
      <c r="I50" s="28">
        <f>IF(OR($G50="",$H50=""),"",$H50-$G50)</f>
        <v/>
      </c>
      <c r="J50" s="29" t="n"/>
      <c r="K50" s="30" t="n"/>
      <c r="L50" s="31">
        <f>IF(OR($K50="",$I50=""),"",$K50*$I50)</f>
        <v/>
      </c>
      <c r="M50" s="31">
        <f>IF($L50="","",IF(OR($C50="Airbnb",$C50="Booking"),$L50*$F$3,0))</f>
        <v/>
      </c>
      <c r="N50" s="31">
        <f>IF($L50="","",$L50-$M50)</f>
        <v/>
      </c>
      <c r="O50" s="31">
        <f>IF($N50="","",$N50*IFERROR(INDEX(Biens!$I$5:$I$14,MATCH($B50,Biens!$A$5:$A$14,0)),0.2))</f>
        <v/>
      </c>
      <c r="P50" s="32">
        <f>IF($N50="","",$N50-$O50)</f>
        <v/>
      </c>
      <c r="Q50" s="25" t="n"/>
      <c r="R50" s="25" t="n"/>
      <c r="S50" s="27" t="n"/>
      <c r="T50" s="26" t="n"/>
    </row>
    <row r="51">
      <c r="A51" s="25" t="n"/>
      <c r="B51" s="25" t="n"/>
      <c r="C51" s="25" t="n"/>
      <c r="D51" s="26" t="n"/>
      <c r="E51" s="25" t="n"/>
      <c r="F51" s="26" t="n"/>
      <c r="G51" s="27" t="n"/>
      <c r="H51" s="27" t="n"/>
      <c r="I51" s="28">
        <f>IF(OR($G51="",$H51=""),"",$H51-$G51)</f>
        <v/>
      </c>
      <c r="J51" s="29" t="n"/>
      <c r="K51" s="30" t="n"/>
      <c r="L51" s="31">
        <f>IF(OR($K51="",$I51=""),"",$K51*$I51)</f>
        <v/>
      </c>
      <c r="M51" s="31">
        <f>IF($L51="","",IF(OR($C51="Airbnb",$C51="Booking"),$L51*$F$3,0))</f>
        <v/>
      </c>
      <c r="N51" s="31">
        <f>IF($L51="","",$L51-$M51)</f>
        <v/>
      </c>
      <c r="O51" s="31">
        <f>IF($N51="","",$N51*IFERROR(INDEX(Biens!$I$5:$I$14,MATCH($B51,Biens!$A$5:$A$14,0)),0.2))</f>
        <v/>
      </c>
      <c r="P51" s="32">
        <f>IF($N51="","",$N51-$O51)</f>
        <v/>
      </c>
      <c r="Q51" s="25" t="n"/>
      <c r="R51" s="25" t="n"/>
      <c r="S51" s="27" t="n"/>
      <c r="T51" s="26" t="n"/>
    </row>
    <row r="52">
      <c r="A52" s="25" t="n"/>
      <c r="B52" s="25" t="n"/>
      <c r="C52" s="25" t="n"/>
      <c r="D52" s="26" t="n"/>
      <c r="E52" s="25" t="n"/>
      <c r="F52" s="26" t="n"/>
      <c r="G52" s="27" t="n"/>
      <c r="H52" s="27" t="n"/>
      <c r="I52" s="28">
        <f>IF(OR($G52="",$H52=""),"",$H52-$G52)</f>
        <v/>
      </c>
      <c r="J52" s="29" t="n"/>
      <c r="K52" s="30" t="n"/>
      <c r="L52" s="31">
        <f>IF(OR($K52="",$I52=""),"",$K52*$I52)</f>
        <v/>
      </c>
      <c r="M52" s="31">
        <f>IF($L52="","",IF(OR($C52="Airbnb",$C52="Booking"),$L52*$F$3,0))</f>
        <v/>
      </c>
      <c r="N52" s="31">
        <f>IF($L52="","",$L52-$M52)</f>
        <v/>
      </c>
      <c r="O52" s="31">
        <f>IF($N52="","",$N52*IFERROR(INDEX(Biens!$I$5:$I$14,MATCH($B52,Biens!$A$5:$A$14,0)),0.2))</f>
        <v/>
      </c>
      <c r="P52" s="32">
        <f>IF($N52="","",$N52-$O52)</f>
        <v/>
      </c>
      <c r="Q52" s="25" t="n"/>
      <c r="R52" s="25" t="n"/>
      <c r="S52" s="27" t="n"/>
      <c r="T52" s="26" t="n"/>
    </row>
    <row r="53">
      <c r="A53" s="25" t="n"/>
      <c r="B53" s="25" t="n"/>
      <c r="C53" s="25" t="n"/>
      <c r="D53" s="26" t="n"/>
      <c r="E53" s="25" t="n"/>
      <c r="F53" s="26" t="n"/>
      <c r="G53" s="27" t="n"/>
      <c r="H53" s="27" t="n"/>
      <c r="I53" s="28">
        <f>IF(OR($G53="",$H53=""),"",$H53-$G53)</f>
        <v/>
      </c>
      <c r="J53" s="29" t="n"/>
      <c r="K53" s="30" t="n"/>
      <c r="L53" s="31">
        <f>IF(OR($K53="",$I53=""),"",$K53*$I53)</f>
        <v/>
      </c>
      <c r="M53" s="31">
        <f>IF($L53="","",IF(OR($C53="Airbnb",$C53="Booking"),$L53*$F$3,0))</f>
        <v/>
      </c>
      <c r="N53" s="31">
        <f>IF($L53="","",$L53-$M53)</f>
        <v/>
      </c>
      <c r="O53" s="31">
        <f>IF($N53="","",$N53*IFERROR(INDEX(Biens!$I$5:$I$14,MATCH($B53,Biens!$A$5:$A$14,0)),0.2))</f>
        <v/>
      </c>
      <c r="P53" s="32">
        <f>IF($N53="","",$N53-$O53)</f>
        <v/>
      </c>
      <c r="Q53" s="25" t="n"/>
      <c r="R53" s="25" t="n"/>
      <c r="S53" s="27" t="n"/>
      <c r="T53" s="26" t="n"/>
    </row>
    <row r="54">
      <c r="A54" s="25" t="n"/>
      <c r="B54" s="25" t="n"/>
      <c r="C54" s="25" t="n"/>
      <c r="D54" s="26" t="n"/>
      <c r="E54" s="25" t="n"/>
      <c r="F54" s="26" t="n"/>
      <c r="G54" s="27" t="n"/>
      <c r="H54" s="27" t="n"/>
      <c r="I54" s="28">
        <f>IF(OR($G54="",$H54=""),"",$H54-$G54)</f>
        <v/>
      </c>
      <c r="J54" s="29" t="n"/>
      <c r="K54" s="30" t="n"/>
      <c r="L54" s="31">
        <f>IF(OR($K54="",$I54=""),"",$K54*$I54)</f>
        <v/>
      </c>
      <c r="M54" s="31">
        <f>IF($L54="","",IF(OR($C54="Airbnb",$C54="Booking"),$L54*$F$3,0))</f>
        <v/>
      </c>
      <c r="N54" s="31">
        <f>IF($L54="","",$L54-$M54)</f>
        <v/>
      </c>
      <c r="O54" s="31">
        <f>IF($N54="","",$N54*IFERROR(INDEX(Biens!$I$5:$I$14,MATCH($B54,Biens!$A$5:$A$14,0)),0.2))</f>
        <v/>
      </c>
      <c r="P54" s="32">
        <f>IF($N54="","",$N54-$O54)</f>
        <v/>
      </c>
      <c r="Q54" s="25" t="n"/>
      <c r="R54" s="25" t="n"/>
      <c r="S54" s="27" t="n"/>
      <c r="T54" s="26" t="n"/>
    </row>
    <row r="55">
      <c r="A55" s="25" t="n"/>
      <c r="B55" s="25" t="n"/>
      <c r="C55" s="25" t="n"/>
      <c r="D55" s="26" t="n"/>
      <c r="E55" s="25" t="n"/>
      <c r="F55" s="26" t="n"/>
      <c r="G55" s="27" t="n"/>
      <c r="H55" s="27" t="n"/>
      <c r="I55" s="28">
        <f>IF(OR($G55="",$H55=""),"",$H55-$G55)</f>
        <v/>
      </c>
      <c r="J55" s="29" t="n"/>
      <c r="K55" s="30" t="n"/>
      <c r="L55" s="31">
        <f>IF(OR($K55="",$I55=""),"",$K55*$I55)</f>
        <v/>
      </c>
      <c r="M55" s="31">
        <f>IF($L55="","",IF(OR($C55="Airbnb",$C55="Booking"),$L55*$F$3,0))</f>
        <v/>
      </c>
      <c r="N55" s="31">
        <f>IF($L55="","",$L55-$M55)</f>
        <v/>
      </c>
      <c r="O55" s="31">
        <f>IF($N55="","",$N55*IFERROR(INDEX(Biens!$I$5:$I$14,MATCH($B55,Biens!$A$5:$A$14,0)),0.2))</f>
        <v/>
      </c>
      <c r="P55" s="32">
        <f>IF($N55="","",$N55-$O55)</f>
        <v/>
      </c>
      <c r="Q55" s="25" t="n"/>
      <c r="R55" s="25" t="n"/>
      <c r="S55" s="27" t="n"/>
      <c r="T55" s="26" t="n"/>
    </row>
    <row r="56">
      <c r="A56" s="25" t="n"/>
      <c r="B56" s="25" t="n"/>
      <c r="C56" s="25" t="n"/>
      <c r="D56" s="26" t="n"/>
      <c r="E56" s="25" t="n"/>
      <c r="F56" s="26" t="n"/>
      <c r="G56" s="27" t="n"/>
      <c r="H56" s="27" t="n"/>
      <c r="I56" s="28">
        <f>IF(OR($G56="",$H56=""),"",$H56-$G56)</f>
        <v/>
      </c>
      <c r="J56" s="29" t="n"/>
      <c r="K56" s="30" t="n"/>
      <c r="L56" s="31">
        <f>IF(OR($K56="",$I56=""),"",$K56*$I56)</f>
        <v/>
      </c>
      <c r="M56" s="31">
        <f>IF($L56="","",IF(OR($C56="Airbnb",$C56="Booking"),$L56*$F$3,0))</f>
        <v/>
      </c>
      <c r="N56" s="31">
        <f>IF($L56="","",$L56-$M56)</f>
        <v/>
      </c>
      <c r="O56" s="31">
        <f>IF($N56="","",$N56*IFERROR(INDEX(Biens!$I$5:$I$14,MATCH($B56,Biens!$A$5:$A$14,0)),0.2))</f>
        <v/>
      </c>
      <c r="P56" s="32">
        <f>IF($N56="","",$N56-$O56)</f>
        <v/>
      </c>
      <c r="Q56" s="25" t="n"/>
      <c r="R56" s="25" t="n"/>
      <c r="S56" s="27" t="n"/>
      <c r="T56" s="26" t="n"/>
    </row>
    <row r="57">
      <c r="A57" s="25" t="n"/>
      <c r="B57" s="25" t="n"/>
      <c r="C57" s="25" t="n"/>
      <c r="D57" s="26" t="n"/>
      <c r="E57" s="25" t="n"/>
      <c r="F57" s="26" t="n"/>
      <c r="G57" s="27" t="n"/>
      <c r="H57" s="27" t="n"/>
      <c r="I57" s="28">
        <f>IF(OR($G57="",$H57=""),"",$H57-$G57)</f>
        <v/>
      </c>
      <c r="J57" s="29" t="n"/>
      <c r="K57" s="30" t="n"/>
      <c r="L57" s="31">
        <f>IF(OR($K57="",$I57=""),"",$K57*$I57)</f>
        <v/>
      </c>
      <c r="M57" s="31">
        <f>IF($L57="","",IF(OR($C57="Airbnb",$C57="Booking"),$L57*$F$3,0))</f>
        <v/>
      </c>
      <c r="N57" s="31">
        <f>IF($L57="","",$L57-$M57)</f>
        <v/>
      </c>
      <c r="O57" s="31">
        <f>IF($N57="","",$N57*IFERROR(INDEX(Biens!$I$5:$I$14,MATCH($B57,Biens!$A$5:$A$14,0)),0.2))</f>
        <v/>
      </c>
      <c r="P57" s="32">
        <f>IF($N57="","",$N57-$O57)</f>
        <v/>
      </c>
      <c r="Q57" s="25" t="n"/>
      <c r="R57" s="25" t="n"/>
      <c r="S57" s="27" t="n"/>
      <c r="T57" s="26" t="n"/>
    </row>
    <row r="58">
      <c r="A58" s="25" t="n"/>
      <c r="B58" s="25" t="n"/>
      <c r="C58" s="25" t="n"/>
      <c r="D58" s="26" t="n"/>
      <c r="E58" s="25" t="n"/>
      <c r="F58" s="26" t="n"/>
      <c r="G58" s="27" t="n"/>
      <c r="H58" s="27" t="n"/>
      <c r="I58" s="28">
        <f>IF(OR($G58="",$H58=""),"",$H58-$G58)</f>
        <v/>
      </c>
      <c r="J58" s="29" t="n"/>
      <c r="K58" s="30" t="n"/>
      <c r="L58" s="31">
        <f>IF(OR($K58="",$I58=""),"",$K58*$I58)</f>
        <v/>
      </c>
      <c r="M58" s="31">
        <f>IF($L58="","",IF(OR($C58="Airbnb",$C58="Booking"),$L58*$F$3,0))</f>
        <v/>
      </c>
      <c r="N58" s="31">
        <f>IF($L58="","",$L58-$M58)</f>
        <v/>
      </c>
      <c r="O58" s="31">
        <f>IF($N58="","",$N58*IFERROR(INDEX(Biens!$I$5:$I$14,MATCH($B58,Biens!$A$5:$A$14,0)),0.2))</f>
        <v/>
      </c>
      <c r="P58" s="32">
        <f>IF($N58="","",$N58-$O58)</f>
        <v/>
      </c>
      <c r="Q58" s="25" t="n"/>
      <c r="R58" s="25" t="n"/>
      <c r="S58" s="27" t="n"/>
      <c r="T58" s="26" t="n"/>
    </row>
    <row r="59">
      <c r="A59" s="25" t="n"/>
      <c r="B59" s="25" t="n"/>
      <c r="C59" s="25" t="n"/>
      <c r="D59" s="26" t="n"/>
      <c r="E59" s="25" t="n"/>
      <c r="F59" s="26" t="n"/>
      <c r="G59" s="27" t="n"/>
      <c r="H59" s="27" t="n"/>
      <c r="I59" s="28">
        <f>IF(OR($G59="",$H59=""),"",$H59-$G59)</f>
        <v/>
      </c>
      <c r="J59" s="29" t="n"/>
      <c r="K59" s="30" t="n"/>
      <c r="L59" s="31">
        <f>IF(OR($K59="",$I59=""),"",$K59*$I59)</f>
        <v/>
      </c>
      <c r="M59" s="31">
        <f>IF($L59="","",IF(OR($C59="Airbnb",$C59="Booking"),$L59*$F$3,0))</f>
        <v/>
      </c>
      <c r="N59" s="31">
        <f>IF($L59="","",$L59-$M59)</f>
        <v/>
      </c>
      <c r="O59" s="31">
        <f>IF($N59="","",$N59*IFERROR(INDEX(Biens!$I$5:$I$14,MATCH($B59,Biens!$A$5:$A$14,0)),0.2))</f>
        <v/>
      </c>
      <c r="P59" s="32">
        <f>IF($N59="","",$N59-$O59)</f>
        <v/>
      </c>
      <c r="Q59" s="25" t="n"/>
      <c r="R59" s="25" t="n"/>
      <c r="S59" s="27" t="n"/>
      <c r="T59" s="26" t="n"/>
    </row>
    <row r="60">
      <c r="A60" s="25" t="n"/>
      <c r="B60" s="25" t="n"/>
      <c r="C60" s="25" t="n"/>
      <c r="D60" s="26" t="n"/>
      <c r="E60" s="25" t="n"/>
      <c r="F60" s="26" t="n"/>
      <c r="G60" s="27" t="n"/>
      <c r="H60" s="27" t="n"/>
      <c r="I60" s="28">
        <f>IF(OR($G60="",$H60=""),"",$H60-$G60)</f>
        <v/>
      </c>
      <c r="J60" s="29" t="n"/>
      <c r="K60" s="30" t="n"/>
      <c r="L60" s="31">
        <f>IF(OR($K60="",$I60=""),"",$K60*$I60)</f>
        <v/>
      </c>
      <c r="M60" s="31">
        <f>IF($L60="","",IF(OR($C60="Airbnb",$C60="Booking"),$L60*$F$3,0))</f>
        <v/>
      </c>
      <c r="N60" s="31">
        <f>IF($L60="","",$L60-$M60)</f>
        <v/>
      </c>
      <c r="O60" s="31">
        <f>IF($N60="","",$N60*IFERROR(INDEX(Biens!$I$5:$I$14,MATCH($B60,Biens!$A$5:$A$14,0)),0.2))</f>
        <v/>
      </c>
      <c r="P60" s="32">
        <f>IF($N60="","",$N60-$O60)</f>
        <v/>
      </c>
      <c r="Q60" s="25" t="n"/>
      <c r="R60" s="25" t="n"/>
      <c r="S60" s="27" t="n"/>
      <c r="T60" s="26" t="n"/>
    </row>
    <row r="61">
      <c r="A61" s="25" t="n"/>
      <c r="B61" s="25" t="n"/>
      <c r="C61" s="25" t="n"/>
      <c r="D61" s="26" t="n"/>
      <c r="E61" s="25" t="n"/>
      <c r="F61" s="26" t="n"/>
      <c r="G61" s="27" t="n"/>
      <c r="H61" s="27" t="n"/>
      <c r="I61" s="28">
        <f>IF(OR($G61="",$H61=""),"",$H61-$G61)</f>
        <v/>
      </c>
      <c r="J61" s="29" t="n"/>
      <c r="K61" s="30" t="n"/>
      <c r="L61" s="31">
        <f>IF(OR($K61="",$I61=""),"",$K61*$I61)</f>
        <v/>
      </c>
      <c r="M61" s="31">
        <f>IF($L61="","",IF(OR($C61="Airbnb",$C61="Booking"),$L61*$F$3,0))</f>
        <v/>
      </c>
      <c r="N61" s="31">
        <f>IF($L61="","",$L61-$M61)</f>
        <v/>
      </c>
      <c r="O61" s="31">
        <f>IF($N61="","",$N61*IFERROR(INDEX(Biens!$I$5:$I$14,MATCH($B61,Biens!$A$5:$A$14,0)),0.2))</f>
        <v/>
      </c>
      <c r="P61" s="32">
        <f>IF($N61="","",$N61-$O61)</f>
        <v/>
      </c>
      <c r="Q61" s="25" t="n"/>
      <c r="R61" s="25" t="n"/>
      <c r="S61" s="27" t="n"/>
      <c r="T61" s="26" t="n"/>
    </row>
    <row r="62">
      <c r="A62" s="25" t="n"/>
      <c r="B62" s="25" t="n"/>
      <c r="C62" s="25" t="n"/>
      <c r="D62" s="26" t="n"/>
      <c r="E62" s="25" t="n"/>
      <c r="F62" s="26" t="n"/>
      <c r="G62" s="27" t="n"/>
      <c r="H62" s="27" t="n"/>
      <c r="I62" s="28">
        <f>IF(OR($G62="",$H62=""),"",$H62-$G62)</f>
        <v/>
      </c>
      <c r="J62" s="29" t="n"/>
      <c r="K62" s="30" t="n"/>
      <c r="L62" s="31">
        <f>IF(OR($K62="",$I62=""),"",$K62*$I62)</f>
        <v/>
      </c>
      <c r="M62" s="31">
        <f>IF($L62="","",IF(OR($C62="Airbnb",$C62="Booking"),$L62*$F$3,0))</f>
        <v/>
      </c>
      <c r="N62" s="31">
        <f>IF($L62="","",$L62-$M62)</f>
        <v/>
      </c>
      <c r="O62" s="31">
        <f>IF($N62="","",$N62*IFERROR(INDEX(Biens!$I$5:$I$14,MATCH($B62,Biens!$A$5:$A$14,0)),0.2))</f>
        <v/>
      </c>
      <c r="P62" s="32">
        <f>IF($N62="","",$N62-$O62)</f>
        <v/>
      </c>
      <c r="Q62" s="25" t="n"/>
      <c r="R62" s="25" t="n"/>
      <c r="S62" s="27" t="n"/>
      <c r="T62" s="26" t="n"/>
    </row>
    <row r="63">
      <c r="A63" s="25" t="n"/>
      <c r="B63" s="25" t="n"/>
      <c r="C63" s="25" t="n"/>
      <c r="D63" s="26" t="n"/>
      <c r="E63" s="25" t="n"/>
      <c r="F63" s="26" t="n"/>
      <c r="G63" s="27" t="n"/>
      <c r="H63" s="27" t="n"/>
      <c r="I63" s="28">
        <f>IF(OR($G63="",$H63=""),"",$H63-$G63)</f>
        <v/>
      </c>
      <c r="J63" s="29" t="n"/>
      <c r="K63" s="30" t="n"/>
      <c r="L63" s="31">
        <f>IF(OR($K63="",$I63=""),"",$K63*$I63)</f>
        <v/>
      </c>
      <c r="M63" s="31">
        <f>IF($L63="","",IF(OR($C63="Airbnb",$C63="Booking"),$L63*$F$3,0))</f>
        <v/>
      </c>
      <c r="N63" s="31">
        <f>IF($L63="","",$L63-$M63)</f>
        <v/>
      </c>
      <c r="O63" s="31">
        <f>IF($N63="","",$N63*IFERROR(INDEX(Biens!$I$5:$I$14,MATCH($B63,Biens!$A$5:$A$14,0)),0.2))</f>
        <v/>
      </c>
      <c r="P63" s="32">
        <f>IF($N63="","",$N63-$O63)</f>
        <v/>
      </c>
      <c r="Q63" s="25" t="n"/>
      <c r="R63" s="25" t="n"/>
      <c r="S63" s="27" t="n"/>
      <c r="T63" s="26" t="n"/>
    </row>
    <row r="64">
      <c r="A64" s="25" t="n"/>
      <c r="B64" s="25" t="n"/>
      <c r="C64" s="25" t="n"/>
      <c r="D64" s="26" t="n"/>
      <c r="E64" s="25" t="n"/>
      <c r="F64" s="26" t="n"/>
      <c r="G64" s="27" t="n"/>
      <c r="H64" s="27" t="n"/>
      <c r="I64" s="28">
        <f>IF(OR($G64="",$H64=""),"",$H64-$G64)</f>
        <v/>
      </c>
      <c r="J64" s="29" t="n"/>
      <c r="K64" s="30" t="n"/>
      <c r="L64" s="31">
        <f>IF(OR($K64="",$I64=""),"",$K64*$I64)</f>
        <v/>
      </c>
      <c r="M64" s="31">
        <f>IF($L64="","",IF(OR($C64="Airbnb",$C64="Booking"),$L64*$F$3,0))</f>
        <v/>
      </c>
      <c r="N64" s="31">
        <f>IF($L64="","",$L64-$M64)</f>
        <v/>
      </c>
      <c r="O64" s="31">
        <f>IF($N64="","",$N64*IFERROR(INDEX(Biens!$I$5:$I$14,MATCH($B64,Biens!$A$5:$A$14,0)),0.2))</f>
        <v/>
      </c>
      <c r="P64" s="32">
        <f>IF($N64="","",$N64-$O64)</f>
        <v/>
      </c>
      <c r="Q64" s="25" t="n"/>
      <c r="R64" s="25" t="n"/>
      <c r="S64" s="27" t="n"/>
      <c r="T64" s="26" t="n"/>
    </row>
    <row r="65">
      <c r="A65" s="25" t="n"/>
      <c r="B65" s="25" t="n"/>
      <c r="C65" s="25" t="n"/>
      <c r="D65" s="26" t="n"/>
      <c r="E65" s="25" t="n"/>
      <c r="F65" s="26" t="n"/>
      <c r="G65" s="27" t="n"/>
      <c r="H65" s="27" t="n"/>
      <c r="I65" s="28">
        <f>IF(OR($G65="",$H65=""),"",$H65-$G65)</f>
        <v/>
      </c>
      <c r="J65" s="29" t="n"/>
      <c r="K65" s="30" t="n"/>
      <c r="L65" s="31">
        <f>IF(OR($K65="",$I65=""),"",$K65*$I65)</f>
        <v/>
      </c>
      <c r="M65" s="31">
        <f>IF($L65="","",IF(OR($C65="Airbnb",$C65="Booking"),$L65*$F$3,0))</f>
        <v/>
      </c>
      <c r="N65" s="31">
        <f>IF($L65="","",$L65-$M65)</f>
        <v/>
      </c>
      <c r="O65" s="31">
        <f>IF($N65="","",$N65*IFERROR(INDEX(Biens!$I$5:$I$14,MATCH($B65,Biens!$A$5:$A$14,0)),0.2))</f>
        <v/>
      </c>
      <c r="P65" s="32">
        <f>IF($N65="","",$N65-$O65)</f>
        <v/>
      </c>
      <c r="Q65" s="25" t="n"/>
      <c r="R65" s="25" t="n"/>
      <c r="S65" s="27" t="n"/>
      <c r="T65" s="26" t="n"/>
    </row>
    <row r="66">
      <c r="A66" s="25" t="n"/>
      <c r="B66" s="25" t="n"/>
      <c r="C66" s="25" t="n"/>
      <c r="D66" s="26" t="n"/>
      <c r="E66" s="25" t="n"/>
      <c r="F66" s="26" t="n"/>
      <c r="G66" s="27" t="n"/>
      <c r="H66" s="27" t="n"/>
      <c r="I66" s="28">
        <f>IF(OR($G66="",$H66=""),"",$H66-$G66)</f>
        <v/>
      </c>
      <c r="J66" s="29" t="n"/>
      <c r="K66" s="30" t="n"/>
      <c r="L66" s="31">
        <f>IF(OR($K66="",$I66=""),"",$K66*$I66)</f>
        <v/>
      </c>
      <c r="M66" s="31">
        <f>IF($L66="","",IF(OR($C66="Airbnb",$C66="Booking"),$L66*$F$3,0))</f>
        <v/>
      </c>
      <c r="N66" s="31">
        <f>IF($L66="","",$L66-$M66)</f>
        <v/>
      </c>
      <c r="O66" s="31">
        <f>IF($N66="","",$N66*IFERROR(INDEX(Biens!$I$5:$I$14,MATCH($B66,Biens!$A$5:$A$14,0)),0.2))</f>
        <v/>
      </c>
      <c r="P66" s="32">
        <f>IF($N66="","",$N66-$O66)</f>
        <v/>
      </c>
      <c r="Q66" s="25" t="n"/>
      <c r="R66" s="25" t="n"/>
      <c r="S66" s="27" t="n"/>
      <c r="T66" s="26" t="n"/>
    </row>
    <row r="67">
      <c r="A67" s="25" t="n"/>
      <c r="B67" s="25" t="n"/>
      <c r="C67" s="25" t="n"/>
      <c r="D67" s="26" t="n"/>
      <c r="E67" s="25" t="n"/>
      <c r="F67" s="26" t="n"/>
      <c r="G67" s="27" t="n"/>
      <c r="H67" s="27" t="n"/>
      <c r="I67" s="28">
        <f>IF(OR($G67="",$H67=""),"",$H67-$G67)</f>
        <v/>
      </c>
      <c r="J67" s="29" t="n"/>
      <c r="K67" s="30" t="n"/>
      <c r="L67" s="31">
        <f>IF(OR($K67="",$I67=""),"",$K67*$I67)</f>
        <v/>
      </c>
      <c r="M67" s="31">
        <f>IF($L67="","",IF(OR($C67="Airbnb",$C67="Booking"),$L67*$F$3,0))</f>
        <v/>
      </c>
      <c r="N67" s="31">
        <f>IF($L67="","",$L67-$M67)</f>
        <v/>
      </c>
      <c r="O67" s="31">
        <f>IF($N67="","",$N67*IFERROR(INDEX(Biens!$I$5:$I$14,MATCH($B67,Biens!$A$5:$A$14,0)),0.2))</f>
        <v/>
      </c>
      <c r="P67" s="32">
        <f>IF($N67="","",$N67-$O67)</f>
        <v/>
      </c>
      <c r="Q67" s="25" t="n"/>
      <c r="R67" s="25" t="n"/>
      <c r="S67" s="27" t="n"/>
      <c r="T67" s="26" t="n"/>
    </row>
    <row r="68">
      <c r="A68" s="25" t="n"/>
      <c r="B68" s="25" t="n"/>
      <c r="C68" s="25" t="n"/>
      <c r="D68" s="26" t="n"/>
      <c r="E68" s="25" t="n"/>
      <c r="F68" s="26" t="n"/>
      <c r="G68" s="27" t="n"/>
      <c r="H68" s="27" t="n"/>
      <c r="I68" s="28">
        <f>IF(OR($G68="",$H68=""),"",$H68-$G68)</f>
        <v/>
      </c>
      <c r="J68" s="29" t="n"/>
      <c r="K68" s="30" t="n"/>
      <c r="L68" s="31">
        <f>IF(OR($K68="",$I68=""),"",$K68*$I68)</f>
        <v/>
      </c>
      <c r="M68" s="31">
        <f>IF($L68="","",IF(OR($C68="Airbnb",$C68="Booking"),$L68*$F$3,0))</f>
        <v/>
      </c>
      <c r="N68" s="31">
        <f>IF($L68="","",$L68-$M68)</f>
        <v/>
      </c>
      <c r="O68" s="31">
        <f>IF($N68="","",$N68*IFERROR(INDEX(Biens!$I$5:$I$14,MATCH($B68,Biens!$A$5:$A$14,0)),0.2))</f>
        <v/>
      </c>
      <c r="P68" s="32">
        <f>IF($N68="","",$N68-$O68)</f>
        <v/>
      </c>
      <c r="Q68" s="25" t="n"/>
      <c r="R68" s="25" t="n"/>
      <c r="S68" s="27" t="n"/>
      <c r="T68" s="26" t="n"/>
    </row>
    <row r="69">
      <c r="A69" s="25" t="n"/>
      <c r="B69" s="25" t="n"/>
      <c r="C69" s="25" t="n"/>
      <c r="D69" s="26" t="n"/>
      <c r="E69" s="25" t="n"/>
      <c r="F69" s="26" t="n"/>
      <c r="G69" s="27" t="n"/>
      <c r="H69" s="27" t="n"/>
      <c r="I69" s="28">
        <f>IF(OR($G69="",$H69=""),"",$H69-$G69)</f>
        <v/>
      </c>
      <c r="J69" s="29" t="n"/>
      <c r="K69" s="30" t="n"/>
      <c r="L69" s="31">
        <f>IF(OR($K69="",$I69=""),"",$K69*$I69)</f>
        <v/>
      </c>
      <c r="M69" s="31">
        <f>IF($L69="","",IF(OR($C69="Airbnb",$C69="Booking"),$L69*$F$3,0))</f>
        <v/>
      </c>
      <c r="N69" s="31">
        <f>IF($L69="","",$L69-$M69)</f>
        <v/>
      </c>
      <c r="O69" s="31">
        <f>IF($N69="","",$N69*IFERROR(INDEX(Biens!$I$5:$I$14,MATCH($B69,Biens!$A$5:$A$14,0)),0.2))</f>
        <v/>
      </c>
      <c r="P69" s="32">
        <f>IF($N69="","",$N69-$O69)</f>
        <v/>
      </c>
      <c r="Q69" s="25" t="n"/>
      <c r="R69" s="25" t="n"/>
      <c r="S69" s="27" t="n"/>
      <c r="T69" s="26" t="n"/>
    </row>
    <row r="70">
      <c r="A70" s="25" t="n"/>
      <c r="B70" s="25" t="n"/>
      <c r="C70" s="25" t="n"/>
      <c r="D70" s="26" t="n"/>
      <c r="E70" s="25" t="n"/>
      <c r="F70" s="26" t="n"/>
      <c r="G70" s="27" t="n"/>
      <c r="H70" s="27" t="n"/>
      <c r="I70" s="28">
        <f>IF(OR($G70="",$H70=""),"",$H70-$G70)</f>
        <v/>
      </c>
      <c r="J70" s="29" t="n"/>
      <c r="K70" s="30" t="n"/>
      <c r="L70" s="31">
        <f>IF(OR($K70="",$I70=""),"",$K70*$I70)</f>
        <v/>
      </c>
      <c r="M70" s="31">
        <f>IF($L70="","",IF(OR($C70="Airbnb",$C70="Booking"),$L70*$F$3,0))</f>
        <v/>
      </c>
      <c r="N70" s="31">
        <f>IF($L70="","",$L70-$M70)</f>
        <v/>
      </c>
      <c r="O70" s="31">
        <f>IF($N70="","",$N70*IFERROR(INDEX(Biens!$I$5:$I$14,MATCH($B70,Biens!$A$5:$A$14,0)),0.2))</f>
        <v/>
      </c>
      <c r="P70" s="32">
        <f>IF($N70="","",$N70-$O70)</f>
        <v/>
      </c>
      <c r="Q70" s="25" t="n"/>
      <c r="R70" s="25" t="n"/>
      <c r="S70" s="27" t="n"/>
      <c r="T70" s="26" t="n"/>
    </row>
    <row r="71">
      <c r="A71" s="25" t="n"/>
      <c r="B71" s="25" t="n"/>
      <c r="C71" s="25" t="n"/>
      <c r="D71" s="26" t="n"/>
      <c r="E71" s="25" t="n"/>
      <c r="F71" s="26" t="n"/>
      <c r="G71" s="27" t="n"/>
      <c r="H71" s="27" t="n"/>
      <c r="I71" s="28">
        <f>IF(OR($G71="",$H71=""),"",$H71-$G71)</f>
        <v/>
      </c>
      <c r="J71" s="29" t="n"/>
      <c r="K71" s="30" t="n"/>
      <c r="L71" s="31">
        <f>IF(OR($K71="",$I71=""),"",$K71*$I71)</f>
        <v/>
      </c>
      <c r="M71" s="31">
        <f>IF($L71="","",IF(OR($C71="Airbnb",$C71="Booking"),$L71*$F$3,0))</f>
        <v/>
      </c>
      <c r="N71" s="31">
        <f>IF($L71="","",$L71-$M71)</f>
        <v/>
      </c>
      <c r="O71" s="31">
        <f>IF($N71="","",$N71*IFERROR(INDEX(Biens!$I$5:$I$14,MATCH($B71,Biens!$A$5:$A$14,0)),0.2))</f>
        <v/>
      </c>
      <c r="P71" s="32">
        <f>IF($N71="","",$N71-$O71)</f>
        <v/>
      </c>
      <c r="Q71" s="25" t="n"/>
      <c r="R71" s="25" t="n"/>
      <c r="S71" s="27" t="n"/>
      <c r="T71" s="26" t="n"/>
    </row>
    <row r="72">
      <c r="A72" s="25" t="n"/>
      <c r="B72" s="25" t="n"/>
      <c r="C72" s="25" t="n"/>
      <c r="D72" s="26" t="n"/>
      <c r="E72" s="25" t="n"/>
      <c r="F72" s="26" t="n"/>
      <c r="G72" s="27" t="n"/>
      <c r="H72" s="27" t="n"/>
      <c r="I72" s="28">
        <f>IF(OR($G72="",$H72=""),"",$H72-$G72)</f>
        <v/>
      </c>
      <c r="J72" s="29" t="n"/>
      <c r="K72" s="30" t="n"/>
      <c r="L72" s="31">
        <f>IF(OR($K72="",$I72=""),"",$K72*$I72)</f>
        <v/>
      </c>
      <c r="M72" s="31">
        <f>IF($L72="","",IF(OR($C72="Airbnb",$C72="Booking"),$L72*$F$3,0))</f>
        <v/>
      </c>
      <c r="N72" s="31">
        <f>IF($L72="","",$L72-$M72)</f>
        <v/>
      </c>
      <c r="O72" s="31">
        <f>IF($N72="","",$N72*IFERROR(INDEX(Biens!$I$5:$I$14,MATCH($B72,Biens!$A$5:$A$14,0)),0.2))</f>
        <v/>
      </c>
      <c r="P72" s="32">
        <f>IF($N72="","",$N72-$O72)</f>
        <v/>
      </c>
      <c r="Q72" s="25" t="n"/>
      <c r="R72" s="25" t="n"/>
      <c r="S72" s="27" t="n"/>
      <c r="T72" s="26" t="n"/>
    </row>
    <row r="73">
      <c r="A73" s="25" t="n"/>
      <c r="B73" s="25" t="n"/>
      <c r="C73" s="25" t="n"/>
      <c r="D73" s="26" t="n"/>
      <c r="E73" s="25" t="n"/>
      <c r="F73" s="26" t="n"/>
      <c r="G73" s="27" t="n"/>
      <c r="H73" s="27" t="n"/>
      <c r="I73" s="28">
        <f>IF(OR($G73="",$H73=""),"",$H73-$G73)</f>
        <v/>
      </c>
      <c r="J73" s="29" t="n"/>
      <c r="K73" s="30" t="n"/>
      <c r="L73" s="31">
        <f>IF(OR($K73="",$I73=""),"",$K73*$I73)</f>
        <v/>
      </c>
      <c r="M73" s="31">
        <f>IF($L73="","",IF(OR($C73="Airbnb",$C73="Booking"),$L73*$F$3,0))</f>
        <v/>
      </c>
      <c r="N73" s="31">
        <f>IF($L73="","",$L73-$M73)</f>
        <v/>
      </c>
      <c r="O73" s="31">
        <f>IF($N73="","",$N73*IFERROR(INDEX(Biens!$I$5:$I$14,MATCH($B73,Biens!$A$5:$A$14,0)),0.2))</f>
        <v/>
      </c>
      <c r="P73" s="32">
        <f>IF($N73="","",$N73-$O73)</f>
        <v/>
      </c>
      <c r="Q73" s="25" t="n"/>
      <c r="R73" s="25" t="n"/>
      <c r="S73" s="27" t="n"/>
      <c r="T73" s="26" t="n"/>
    </row>
    <row r="74">
      <c r="A74" s="25" t="n"/>
      <c r="B74" s="25" t="n"/>
      <c r="C74" s="25" t="n"/>
      <c r="D74" s="26" t="n"/>
      <c r="E74" s="25" t="n"/>
      <c r="F74" s="26" t="n"/>
      <c r="G74" s="27" t="n"/>
      <c r="H74" s="27" t="n"/>
      <c r="I74" s="28">
        <f>IF(OR($G74="",$H74=""),"",$H74-$G74)</f>
        <v/>
      </c>
      <c r="J74" s="29" t="n"/>
      <c r="K74" s="30" t="n"/>
      <c r="L74" s="31">
        <f>IF(OR($K74="",$I74=""),"",$K74*$I74)</f>
        <v/>
      </c>
      <c r="M74" s="31">
        <f>IF($L74="","",IF(OR($C74="Airbnb",$C74="Booking"),$L74*$F$3,0))</f>
        <v/>
      </c>
      <c r="N74" s="31">
        <f>IF($L74="","",$L74-$M74)</f>
        <v/>
      </c>
      <c r="O74" s="31">
        <f>IF($N74="","",$N74*IFERROR(INDEX(Biens!$I$5:$I$14,MATCH($B74,Biens!$A$5:$A$14,0)),0.2))</f>
        <v/>
      </c>
      <c r="P74" s="32">
        <f>IF($N74="","",$N74-$O74)</f>
        <v/>
      </c>
      <c r="Q74" s="25" t="n"/>
      <c r="R74" s="25" t="n"/>
      <c r="S74" s="27" t="n"/>
      <c r="T74" s="26" t="n"/>
    </row>
    <row r="75">
      <c r="A75" s="25" t="n"/>
      <c r="B75" s="25" t="n"/>
      <c r="C75" s="25" t="n"/>
      <c r="D75" s="26" t="n"/>
      <c r="E75" s="25" t="n"/>
      <c r="F75" s="26" t="n"/>
      <c r="G75" s="27" t="n"/>
      <c r="H75" s="27" t="n"/>
      <c r="I75" s="28">
        <f>IF(OR($G75="",$H75=""),"",$H75-$G75)</f>
        <v/>
      </c>
      <c r="J75" s="29" t="n"/>
      <c r="K75" s="30" t="n"/>
      <c r="L75" s="31">
        <f>IF(OR($K75="",$I75=""),"",$K75*$I75)</f>
        <v/>
      </c>
      <c r="M75" s="31">
        <f>IF($L75="","",IF(OR($C75="Airbnb",$C75="Booking"),$L75*$F$3,0))</f>
        <v/>
      </c>
      <c r="N75" s="31">
        <f>IF($L75="","",$L75-$M75)</f>
        <v/>
      </c>
      <c r="O75" s="31">
        <f>IF($N75="","",$N75*IFERROR(INDEX(Biens!$I$5:$I$14,MATCH($B75,Biens!$A$5:$A$14,0)),0.2))</f>
        <v/>
      </c>
      <c r="P75" s="32">
        <f>IF($N75="","",$N75-$O75)</f>
        <v/>
      </c>
      <c r="Q75" s="25" t="n"/>
      <c r="R75" s="25" t="n"/>
      <c r="S75" s="27" t="n"/>
      <c r="T75" s="26" t="n"/>
    </row>
    <row r="76">
      <c r="A76" s="25" t="n"/>
      <c r="B76" s="25" t="n"/>
      <c r="C76" s="25" t="n"/>
      <c r="D76" s="26" t="n"/>
      <c r="E76" s="25" t="n"/>
      <c r="F76" s="26" t="n"/>
      <c r="G76" s="27" t="n"/>
      <c r="H76" s="27" t="n"/>
      <c r="I76" s="28">
        <f>IF(OR($G76="",$H76=""),"",$H76-$G76)</f>
        <v/>
      </c>
      <c r="J76" s="29" t="n"/>
      <c r="K76" s="30" t="n"/>
      <c r="L76" s="31">
        <f>IF(OR($K76="",$I76=""),"",$K76*$I76)</f>
        <v/>
      </c>
      <c r="M76" s="31">
        <f>IF($L76="","",IF(OR($C76="Airbnb",$C76="Booking"),$L76*$F$3,0))</f>
        <v/>
      </c>
      <c r="N76" s="31">
        <f>IF($L76="","",$L76-$M76)</f>
        <v/>
      </c>
      <c r="O76" s="31">
        <f>IF($N76="","",$N76*IFERROR(INDEX(Biens!$I$5:$I$14,MATCH($B76,Biens!$A$5:$A$14,0)),0.2))</f>
        <v/>
      </c>
      <c r="P76" s="32">
        <f>IF($N76="","",$N76-$O76)</f>
        <v/>
      </c>
      <c r="Q76" s="25" t="n"/>
      <c r="R76" s="25" t="n"/>
      <c r="S76" s="27" t="n"/>
      <c r="T76" s="26" t="n"/>
    </row>
    <row r="77">
      <c r="A77" s="25" t="n"/>
      <c r="B77" s="25" t="n"/>
      <c r="C77" s="25" t="n"/>
      <c r="D77" s="26" t="n"/>
      <c r="E77" s="25" t="n"/>
      <c r="F77" s="26" t="n"/>
      <c r="G77" s="27" t="n"/>
      <c r="H77" s="27" t="n"/>
      <c r="I77" s="28">
        <f>IF(OR($G77="",$H77=""),"",$H77-$G77)</f>
        <v/>
      </c>
      <c r="J77" s="29" t="n"/>
      <c r="K77" s="30" t="n"/>
      <c r="L77" s="31">
        <f>IF(OR($K77="",$I77=""),"",$K77*$I77)</f>
        <v/>
      </c>
      <c r="M77" s="31">
        <f>IF($L77="","",IF(OR($C77="Airbnb",$C77="Booking"),$L77*$F$3,0))</f>
        <v/>
      </c>
      <c r="N77" s="31">
        <f>IF($L77="","",$L77-$M77)</f>
        <v/>
      </c>
      <c r="O77" s="31">
        <f>IF($N77="","",$N77*IFERROR(INDEX(Biens!$I$5:$I$14,MATCH($B77,Biens!$A$5:$A$14,0)),0.2))</f>
        <v/>
      </c>
      <c r="P77" s="32">
        <f>IF($N77="","",$N77-$O77)</f>
        <v/>
      </c>
      <c r="Q77" s="25" t="n"/>
      <c r="R77" s="25" t="n"/>
      <c r="S77" s="27" t="n"/>
      <c r="T77" s="26" t="n"/>
    </row>
    <row r="78">
      <c r="A78" s="25" t="n"/>
      <c r="B78" s="25" t="n"/>
      <c r="C78" s="25" t="n"/>
      <c r="D78" s="26" t="n"/>
      <c r="E78" s="25" t="n"/>
      <c r="F78" s="26" t="n"/>
      <c r="G78" s="27" t="n"/>
      <c r="H78" s="27" t="n"/>
      <c r="I78" s="28">
        <f>IF(OR($G78="",$H78=""),"",$H78-$G78)</f>
        <v/>
      </c>
      <c r="J78" s="29" t="n"/>
      <c r="K78" s="30" t="n"/>
      <c r="L78" s="31">
        <f>IF(OR($K78="",$I78=""),"",$K78*$I78)</f>
        <v/>
      </c>
      <c r="M78" s="31">
        <f>IF($L78="","",IF(OR($C78="Airbnb",$C78="Booking"),$L78*$F$3,0))</f>
        <v/>
      </c>
      <c r="N78" s="31">
        <f>IF($L78="","",$L78-$M78)</f>
        <v/>
      </c>
      <c r="O78" s="31">
        <f>IF($N78="","",$N78*IFERROR(INDEX(Biens!$I$5:$I$14,MATCH($B78,Biens!$A$5:$A$14,0)),0.2))</f>
        <v/>
      </c>
      <c r="P78" s="32">
        <f>IF($N78="","",$N78-$O78)</f>
        <v/>
      </c>
      <c r="Q78" s="25" t="n"/>
      <c r="R78" s="25" t="n"/>
      <c r="S78" s="27" t="n"/>
      <c r="T78" s="26" t="n"/>
    </row>
    <row r="79">
      <c r="A79" s="25" t="n"/>
      <c r="B79" s="25" t="n"/>
      <c r="C79" s="25" t="n"/>
      <c r="D79" s="26" t="n"/>
      <c r="E79" s="25" t="n"/>
      <c r="F79" s="26" t="n"/>
      <c r="G79" s="27" t="n"/>
      <c r="H79" s="27" t="n"/>
      <c r="I79" s="28">
        <f>IF(OR($G79="",$H79=""),"",$H79-$G79)</f>
        <v/>
      </c>
      <c r="J79" s="29" t="n"/>
      <c r="K79" s="30" t="n"/>
      <c r="L79" s="31">
        <f>IF(OR($K79="",$I79=""),"",$K79*$I79)</f>
        <v/>
      </c>
      <c r="M79" s="31">
        <f>IF($L79="","",IF(OR($C79="Airbnb",$C79="Booking"),$L79*$F$3,0))</f>
        <v/>
      </c>
      <c r="N79" s="31">
        <f>IF($L79="","",$L79-$M79)</f>
        <v/>
      </c>
      <c r="O79" s="31">
        <f>IF($N79="","",$N79*IFERROR(INDEX(Biens!$I$5:$I$14,MATCH($B79,Biens!$A$5:$A$14,0)),0.2))</f>
        <v/>
      </c>
      <c r="P79" s="32">
        <f>IF($N79="","",$N79-$O79)</f>
        <v/>
      </c>
      <c r="Q79" s="25" t="n"/>
      <c r="R79" s="25" t="n"/>
      <c r="S79" s="27" t="n"/>
      <c r="T79" s="26" t="n"/>
    </row>
    <row r="80">
      <c r="A80" s="25" t="n"/>
      <c r="B80" s="25" t="n"/>
      <c r="C80" s="25" t="n"/>
      <c r="D80" s="26" t="n"/>
      <c r="E80" s="25" t="n"/>
      <c r="F80" s="26" t="n"/>
      <c r="G80" s="27" t="n"/>
      <c r="H80" s="27" t="n"/>
      <c r="I80" s="28">
        <f>IF(OR($G80="",$H80=""),"",$H80-$G80)</f>
        <v/>
      </c>
      <c r="J80" s="29" t="n"/>
      <c r="K80" s="30" t="n"/>
      <c r="L80" s="31">
        <f>IF(OR($K80="",$I80=""),"",$K80*$I80)</f>
        <v/>
      </c>
      <c r="M80" s="31">
        <f>IF($L80="","",IF(OR($C80="Airbnb",$C80="Booking"),$L80*$F$3,0))</f>
        <v/>
      </c>
      <c r="N80" s="31">
        <f>IF($L80="","",$L80-$M80)</f>
        <v/>
      </c>
      <c r="O80" s="31">
        <f>IF($N80="","",$N80*IFERROR(INDEX(Biens!$I$5:$I$14,MATCH($B80,Biens!$A$5:$A$14,0)),0.2))</f>
        <v/>
      </c>
      <c r="P80" s="32">
        <f>IF($N80="","",$N80-$O80)</f>
        <v/>
      </c>
      <c r="Q80" s="25" t="n"/>
      <c r="R80" s="25" t="n"/>
      <c r="S80" s="27" t="n"/>
      <c r="T80" s="26" t="n"/>
    </row>
    <row r="81">
      <c r="A81" s="25" t="n"/>
      <c r="B81" s="25" t="n"/>
      <c r="C81" s="25" t="n"/>
      <c r="D81" s="26" t="n"/>
      <c r="E81" s="25" t="n"/>
      <c r="F81" s="26" t="n"/>
      <c r="G81" s="27" t="n"/>
      <c r="H81" s="27" t="n"/>
      <c r="I81" s="28">
        <f>IF(OR($G81="",$H81=""),"",$H81-$G81)</f>
        <v/>
      </c>
      <c r="J81" s="29" t="n"/>
      <c r="K81" s="30" t="n"/>
      <c r="L81" s="31">
        <f>IF(OR($K81="",$I81=""),"",$K81*$I81)</f>
        <v/>
      </c>
      <c r="M81" s="31">
        <f>IF($L81="","",IF(OR($C81="Airbnb",$C81="Booking"),$L81*$F$3,0))</f>
        <v/>
      </c>
      <c r="N81" s="31">
        <f>IF($L81="","",$L81-$M81)</f>
        <v/>
      </c>
      <c r="O81" s="31">
        <f>IF($N81="","",$N81*IFERROR(INDEX(Biens!$I$5:$I$14,MATCH($B81,Biens!$A$5:$A$14,0)),0.2))</f>
        <v/>
      </c>
      <c r="P81" s="32">
        <f>IF($N81="","",$N81-$O81)</f>
        <v/>
      </c>
      <c r="Q81" s="25" t="n"/>
      <c r="R81" s="25" t="n"/>
      <c r="S81" s="27" t="n"/>
      <c r="T81" s="26" t="n"/>
    </row>
    <row r="82">
      <c r="A82" s="25" t="n"/>
      <c r="B82" s="25" t="n"/>
      <c r="C82" s="25" t="n"/>
      <c r="D82" s="26" t="n"/>
      <c r="E82" s="25" t="n"/>
      <c r="F82" s="26" t="n"/>
      <c r="G82" s="27" t="n"/>
      <c r="H82" s="27" t="n"/>
      <c r="I82" s="28">
        <f>IF(OR($G82="",$H82=""),"",$H82-$G82)</f>
        <v/>
      </c>
      <c r="J82" s="29" t="n"/>
      <c r="K82" s="30" t="n"/>
      <c r="L82" s="31">
        <f>IF(OR($K82="",$I82=""),"",$K82*$I82)</f>
        <v/>
      </c>
      <c r="M82" s="31">
        <f>IF($L82="","",IF(OR($C82="Airbnb",$C82="Booking"),$L82*$F$3,0))</f>
        <v/>
      </c>
      <c r="N82" s="31">
        <f>IF($L82="","",$L82-$M82)</f>
        <v/>
      </c>
      <c r="O82" s="31">
        <f>IF($N82="","",$N82*IFERROR(INDEX(Biens!$I$5:$I$14,MATCH($B82,Biens!$A$5:$A$14,0)),0.2))</f>
        <v/>
      </c>
      <c r="P82" s="32">
        <f>IF($N82="","",$N82-$O82)</f>
        <v/>
      </c>
      <c r="Q82" s="25" t="n"/>
      <c r="R82" s="25" t="n"/>
      <c r="S82" s="27" t="n"/>
      <c r="T82" s="26" t="n"/>
    </row>
    <row r="83">
      <c r="A83" s="25" t="n"/>
      <c r="B83" s="25" t="n"/>
      <c r="C83" s="25" t="n"/>
      <c r="D83" s="26" t="n"/>
      <c r="E83" s="25" t="n"/>
      <c r="F83" s="26" t="n"/>
      <c r="G83" s="27" t="n"/>
      <c r="H83" s="27" t="n"/>
      <c r="I83" s="28">
        <f>IF(OR($G83="",$H83=""),"",$H83-$G83)</f>
        <v/>
      </c>
      <c r="J83" s="29" t="n"/>
      <c r="K83" s="30" t="n"/>
      <c r="L83" s="31">
        <f>IF(OR($K83="",$I83=""),"",$K83*$I83)</f>
        <v/>
      </c>
      <c r="M83" s="31">
        <f>IF($L83="","",IF(OR($C83="Airbnb",$C83="Booking"),$L83*$F$3,0))</f>
        <v/>
      </c>
      <c r="N83" s="31">
        <f>IF($L83="","",$L83-$M83)</f>
        <v/>
      </c>
      <c r="O83" s="31">
        <f>IF($N83="","",$N83*IFERROR(INDEX(Biens!$I$5:$I$14,MATCH($B83,Biens!$A$5:$A$14,0)),0.2))</f>
        <v/>
      </c>
      <c r="P83" s="32">
        <f>IF($N83="","",$N83-$O83)</f>
        <v/>
      </c>
      <c r="Q83" s="25" t="n"/>
      <c r="R83" s="25" t="n"/>
      <c r="S83" s="27" t="n"/>
      <c r="T83" s="26" t="n"/>
    </row>
    <row r="84">
      <c r="A84" s="25" t="n"/>
      <c r="B84" s="25" t="n"/>
      <c r="C84" s="25" t="n"/>
      <c r="D84" s="26" t="n"/>
      <c r="E84" s="25" t="n"/>
      <c r="F84" s="26" t="n"/>
      <c r="G84" s="27" t="n"/>
      <c r="H84" s="27" t="n"/>
      <c r="I84" s="28">
        <f>IF(OR($G84="",$H84=""),"",$H84-$G84)</f>
        <v/>
      </c>
      <c r="J84" s="29" t="n"/>
      <c r="K84" s="30" t="n"/>
      <c r="L84" s="31">
        <f>IF(OR($K84="",$I84=""),"",$K84*$I84)</f>
        <v/>
      </c>
      <c r="M84" s="31">
        <f>IF($L84="","",IF(OR($C84="Airbnb",$C84="Booking"),$L84*$F$3,0))</f>
        <v/>
      </c>
      <c r="N84" s="31">
        <f>IF($L84="","",$L84-$M84)</f>
        <v/>
      </c>
      <c r="O84" s="31">
        <f>IF($N84="","",$N84*IFERROR(INDEX(Biens!$I$5:$I$14,MATCH($B84,Biens!$A$5:$A$14,0)),0.2))</f>
        <v/>
      </c>
      <c r="P84" s="32">
        <f>IF($N84="","",$N84-$O84)</f>
        <v/>
      </c>
      <c r="Q84" s="25" t="n"/>
      <c r="R84" s="25" t="n"/>
      <c r="S84" s="27" t="n"/>
      <c r="T84" s="26" t="n"/>
    </row>
    <row r="85">
      <c r="A85" s="25" t="n"/>
      <c r="B85" s="25" t="n"/>
      <c r="C85" s="25" t="n"/>
      <c r="D85" s="26" t="n"/>
      <c r="E85" s="25" t="n"/>
      <c r="F85" s="26" t="n"/>
      <c r="G85" s="27" t="n"/>
      <c r="H85" s="27" t="n"/>
      <c r="I85" s="28">
        <f>IF(OR($G85="",$H85=""),"",$H85-$G85)</f>
        <v/>
      </c>
      <c r="J85" s="29" t="n"/>
      <c r="K85" s="30" t="n"/>
      <c r="L85" s="31">
        <f>IF(OR($K85="",$I85=""),"",$K85*$I85)</f>
        <v/>
      </c>
      <c r="M85" s="31">
        <f>IF($L85="","",IF(OR($C85="Airbnb",$C85="Booking"),$L85*$F$3,0))</f>
        <v/>
      </c>
      <c r="N85" s="31">
        <f>IF($L85="","",$L85-$M85)</f>
        <v/>
      </c>
      <c r="O85" s="31">
        <f>IF($N85="","",$N85*IFERROR(INDEX(Biens!$I$5:$I$14,MATCH($B85,Biens!$A$5:$A$14,0)),0.2))</f>
        <v/>
      </c>
      <c r="P85" s="32">
        <f>IF($N85="","",$N85-$O85)</f>
        <v/>
      </c>
      <c r="Q85" s="25" t="n"/>
      <c r="R85" s="25" t="n"/>
      <c r="S85" s="27" t="n"/>
      <c r="T85" s="26" t="n"/>
    </row>
    <row r="86">
      <c r="A86" s="25" t="n"/>
      <c r="B86" s="25" t="n"/>
      <c r="C86" s="25" t="n"/>
      <c r="D86" s="26" t="n"/>
      <c r="E86" s="25" t="n"/>
      <c r="F86" s="26" t="n"/>
      <c r="G86" s="27" t="n"/>
      <c r="H86" s="27" t="n"/>
      <c r="I86" s="28">
        <f>IF(OR($G86="",$H86=""),"",$H86-$G86)</f>
        <v/>
      </c>
      <c r="J86" s="29" t="n"/>
      <c r="K86" s="30" t="n"/>
      <c r="L86" s="31">
        <f>IF(OR($K86="",$I86=""),"",$K86*$I86)</f>
        <v/>
      </c>
      <c r="M86" s="31">
        <f>IF($L86="","",IF(OR($C86="Airbnb",$C86="Booking"),$L86*$F$3,0))</f>
        <v/>
      </c>
      <c r="N86" s="31">
        <f>IF($L86="","",$L86-$M86)</f>
        <v/>
      </c>
      <c r="O86" s="31">
        <f>IF($N86="","",$N86*IFERROR(INDEX(Biens!$I$5:$I$14,MATCH($B86,Biens!$A$5:$A$14,0)),0.2))</f>
        <v/>
      </c>
      <c r="P86" s="32">
        <f>IF($N86="","",$N86-$O86)</f>
        <v/>
      </c>
      <c r="Q86" s="25" t="n"/>
      <c r="R86" s="25" t="n"/>
      <c r="S86" s="27" t="n"/>
      <c r="T86" s="26" t="n"/>
    </row>
    <row r="87">
      <c r="A87" s="25" t="n"/>
      <c r="B87" s="25" t="n"/>
      <c r="C87" s="25" t="n"/>
      <c r="D87" s="26" t="n"/>
      <c r="E87" s="25" t="n"/>
      <c r="F87" s="26" t="n"/>
      <c r="G87" s="27" t="n"/>
      <c r="H87" s="27" t="n"/>
      <c r="I87" s="28">
        <f>IF(OR($G87="",$H87=""),"",$H87-$G87)</f>
        <v/>
      </c>
      <c r="J87" s="29" t="n"/>
      <c r="K87" s="30" t="n"/>
      <c r="L87" s="31">
        <f>IF(OR($K87="",$I87=""),"",$K87*$I87)</f>
        <v/>
      </c>
      <c r="M87" s="31">
        <f>IF($L87="","",IF(OR($C87="Airbnb",$C87="Booking"),$L87*$F$3,0))</f>
        <v/>
      </c>
      <c r="N87" s="31">
        <f>IF($L87="","",$L87-$M87)</f>
        <v/>
      </c>
      <c r="O87" s="31">
        <f>IF($N87="","",$N87*IFERROR(INDEX(Biens!$I$5:$I$14,MATCH($B87,Biens!$A$5:$A$14,0)),0.2))</f>
        <v/>
      </c>
      <c r="P87" s="32">
        <f>IF($N87="","",$N87-$O87)</f>
        <v/>
      </c>
      <c r="Q87" s="25" t="n"/>
      <c r="R87" s="25" t="n"/>
      <c r="S87" s="27" t="n"/>
      <c r="T87" s="26" t="n"/>
    </row>
    <row r="88">
      <c r="A88" s="25" t="n"/>
      <c r="B88" s="25" t="n"/>
      <c r="C88" s="25" t="n"/>
      <c r="D88" s="26" t="n"/>
      <c r="E88" s="25" t="n"/>
      <c r="F88" s="26" t="n"/>
      <c r="G88" s="27" t="n"/>
      <c r="H88" s="27" t="n"/>
      <c r="I88" s="28">
        <f>IF(OR($G88="",$H88=""),"",$H88-$G88)</f>
        <v/>
      </c>
      <c r="J88" s="29" t="n"/>
      <c r="K88" s="30" t="n"/>
      <c r="L88" s="31">
        <f>IF(OR($K88="",$I88=""),"",$K88*$I88)</f>
        <v/>
      </c>
      <c r="M88" s="31">
        <f>IF($L88="","",IF(OR($C88="Airbnb",$C88="Booking"),$L88*$F$3,0))</f>
        <v/>
      </c>
      <c r="N88" s="31">
        <f>IF($L88="","",$L88-$M88)</f>
        <v/>
      </c>
      <c r="O88" s="31">
        <f>IF($N88="","",$N88*IFERROR(INDEX(Biens!$I$5:$I$14,MATCH($B88,Biens!$A$5:$A$14,0)),0.2))</f>
        <v/>
      </c>
      <c r="P88" s="32">
        <f>IF($N88="","",$N88-$O88)</f>
        <v/>
      </c>
      <c r="Q88" s="25" t="n"/>
      <c r="R88" s="25" t="n"/>
      <c r="S88" s="27" t="n"/>
      <c r="T88" s="26" t="n"/>
    </row>
    <row r="89">
      <c r="A89" s="25" t="n"/>
      <c r="B89" s="25" t="n"/>
      <c r="C89" s="25" t="n"/>
      <c r="D89" s="26" t="n"/>
      <c r="E89" s="25" t="n"/>
      <c r="F89" s="26" t="n"/>
      <c r="G89" s="27" t="n"/>
      <c r="H89" s="27" t="n"/>
      <c r="I89" s="28">
        <f>IF(OR($G89="",$H89=""),"",$H89-$G89)</f>
        <v/>
      </c>
      <c r="J89" s="29" t="n"/>
      <c r="K89" s="30" t="n"/>
      <c r="L89" s="31">
        <f>IF(OR($K89="",$I89=""),"",$K89*$I89)</f>
        <v/>
      </c>
      <c r="M89" s="31">
        <f>IF($L89="","",IF(OR($C89="Airbnb",$C89="Booking"),$L89*$F$3,0))</f>
        <v/>
      </c>
      <c r="N89" s="31">
        <f>IF($L89="","",$L89-$M89)</f>
        <v/>
      </c>
      <c r="O89" s="31">
        <f>IF($N89="","",$N89*IFERROR(INDEX(Biens!$I$5:$I$14,MATCH($B89,Biens!$A$5:$A$14,0)),0.2))</f>
        <v/>
      </c>
      <c r="P89" s="32">
        <f>IF($N89="","",$N89-$O89)</f>
        <v/>
      </c>
      <c r="Q89" s="25" t="n"/>
      <c r="R89" s="25" t="n"/>
      <c r="S89" s="27" t="n"/>
      <c r="T89" s="26" t="n"/>
    </row>
    <row r="90">
      <c r="A90" s="25" t="n"/>
      <c r="B90" s="25" t="n"/>
      <c r="C90" s="25" t="n"/>
      <c r="D90" s="26" t="n"/>
      <c r="E90" s="25" t="n"/>
      <c r="F90" s="26" t="n"/>
      <c r="G90" s="27" t="n"/>
      <c r="H90" s="27" t="n"/>
      <c r="I90" s="28">
        <f>IF(OR($G90="",$H90=""),"",$H90-$G90)</f>
        <v/>
      </c>
      <c r="J90" s="29" t="n"/>
      <c r="K90" s="30" t="n"/>
      <c r="L90" s="31">
        <f>IF(OR($K90="",$I90=""),"",$K90*$I90)</f>
        <v/>
      </c>
      <c r="M90" s="31">
        <f>IF($L90="","",IF(OR($C90="Airbnb",$C90="Booking"),$L90*$F$3,0))</f>
        <v/>
      </c>
      <c r="N90" s="31">
        <f>IF($L90="","",$L90-$M90)</f>
        <v/>
      </c>
      <c r="O90" s="31">
        <f>IF($N90="","",$N90*IFERROR(INDEX(Biens!$I$5:$I$14,MATCH($B90,Biens!$A$5:$A$14,0)),0.2))</f>
        <v/>
      </c>
      <c r="P90" s="32">
        <f>IF($N90="","",$N90-$O90)</f>
        <v/>
      </c>
      <c r="Q90" s="25" t="n"/>
      <c r="R90" s="25" t="n"/>
      <c r="S90" s="27" t="n"/>
      <c r="T90" s="26" t="n"/>
    </row>
    <row r="91">
      <c r="A91" s="25" t="n"/>
      <c r="B91" s="25" t="n"/>
      <c r="C91" s="25" t="n"/>
      <c r="D91" s="26" t="n"/>
      <c r="E91" s="25" t="n"/>
      <c r="F91" s="26" t="n"/>
      <c r="G91" s="27" t="n"/>
      <c r="H91" s="27" t="n"/>
      <c r="I91" s="28">
        <f>IF(OR($G91="",$H91=""),"",$H91-$G91)</f>
        <v/>
      </c>
      <c r="J91" s="29" t="n"/>
      <c r="K91" s="30" t="n"/>
      <c r="L91" s="31">
        <f>IF(OR($K91="",$I91=""),"",$K91*$I91)</f>
        <v/>
      </c>
      <c r="M91" s="31">
        <f>IF($L91="","",IF(OR($C91="Airbnb",$C91="Booking"),$L91*$F$3,0))</f>
        <v/>
      </c>
      <c r="N91" s="31">
        <f>IF($L91="","",$L91-$M91)</f>
        <v/>
      </c>
      <c r="O91" s="31">
        <f>IF($N91="","",$N91*IFERROR(INDEX(Biens!$I$5:$I$14,MATCH($B91,Biens!$A$5:$A$14,0)),0.2))</f>
        <v/>
      </c>
      <c r="P91" s="32">
        <f>IF($N91="","",$N91-$O91)</f>
        <v/>
      </c>
      <c r="Q91" s="25" t="n"/>
      <c r="R91" s="25" t="n"/>
      <c r="S91" s="27" t="n"/>
      <c r="T91" s="26" t="n"/>
    </row>
    <row r="92">
      <c r="A92" s="25" t="n"/>
      <c r="B92" s="25" t="n"/>
      <c r="C92" s="25" t="n"/>
      <c r="D92" s="26" t="n"/>
      <c r="E92" s="25" t="n"/>
      <c r="F92" s="26" t="n"/>
      <c r="G92" s="27" t="n"/>
      <c r="H92" s="27" t="n"/>
      <c r="I92" s="28">
        <f>IF(OR($G92="",$H92=""),"",$H92-$G92)</f>
        <v/>
      </c>
      <c r="J92" s="29" t="n"/>
      <c r="K92" s="30" t="n"/>
      <c r="L92" s="31">
        <f>IF(OR($K92="",$I92=""),"",$K92*$I92)</f>
        <v/>
      </c>
      <c r="M92" s="31">
        <f>IF($L92="","",IF(OR($C92="Airbnb",$C92="Booking"),$L92*$F$3,0))</f>
        <v/>
      </c>
      <c r="N92" s="31">
        <f>IF($L92="","",$L92-$M92)</f>
        <v/>
      </c>
      <c r="O92" s="31">
        <f>IF($N92="","",$N92*IFERROR(INDEX(Biens!$I$5:$I$14,MATCH($B92,Biens!$A$5:$A$14,0)),0.2))</f>
        <v/>
      </c>
      <c r="P92" s="32">
        <f>IF($N92="","",$N92-$O92)</f>
        <v/>
      </c>
      <c r="Q92" s="25" t="n"/>
      <c r="R92" s="25" t="n"/>
      <c r="S92" s="27" t="n"/>
      <c r="T92" s="26" t="n"/>
    </row>
    <row r="93">
      <c r="A93" s="25" t="n"/>
      <c r="B93" s="25" t="n"/>
      <c r="C93" s="25" t="n"/>
      <c r="D93" s="26" t="n"/>
      <c r="E93" s="25" t="n"/>
      <c r="F93" s="26" t="n"/>
      <c r="G93" s="27" t="n"/>
      <c r="H93" s="27" t="n"/>
      <c r="I93" s="28">
        <f>IF(OR($G93="",$H93=""),"",$H93-$G93)</f>
        <v/>
      </c>
      <c r="J93" s="29" t="n"/>
      <c r="K93" s="30" t="n"/>
      <c r="L93" s="31">
        <f>IF(OR($K93="",$I93=""),"",$K93*$I93)</f>
        <v/>
      </c>
      <c r="M93" s="31">
        <f>IF($L93="","",IF(OR($C93="Airbnb",$C93="Booking"),$L93*$F$3,0))</f>
        <v/>
      </c>
      <c r="N93" s="31">
        <f>IF($L93="","",$L93-$M93)</f>
        <v/>
      </c>
      <c r="O93" s="31">
        <f>IF($N93="","",$N93*IFERROR(INDEX(Biens!$I$5:$I$14,MATCH($B93,Biens!$A$5:$A$14,0)),0.2))</f>
        <v/>
      </c>
      <c r="P93" s="32">
        <f>IF($N93="","",$N93-$O93)</f>
        <v/>
      </c>
      <c r="Q93" s="25" t="n"/>
      <c r="R93" s="25" t="n"/>
      <c r="S93" s="27" t="n"/>
      <c r="T93" s="26" t="n"/>
    </row>
    <row r="94">
      <c r="A94" s="25" t="n"/>
      <c r="B94" s="25" t="n"/>
      <c r="C94" s="25" t="n"/>
      <c r="D94" s="26" t="n"/>
      <c r="E94" s="25" t="n"/>
      <c r="F94" s="26" t="n"/>
      <c r="G94" s="27" t="n"/>
      <c r="H94" s="27" t="n"/>
      <c r="I94" s="28">
        <f>IF(OR($G94="",$H94=""),"",$H94-$G94)</f>
        <v/>
      </c>
      <c r="J94" s="29" t="n"/>
      <c r="K94" s="30" t="n"/>
      <c r="L94" s="31">
        <f>IF(OR($K94="",$I94=""),"",$K94*$I94)</f>
        <v/>
      </c>
      <c r="M94" s="31">
        <f>IF($L94="","",IF(OR($C94="Airbnb",$C94="Booking"),$L94*$F$3,0))</f>
        <v/>
      </c>
      <c r="N94" s="31">
        <f>IF($L94="","",$L94-$M94)</f>
        <v/>
      </c>
      <c r="O94" s="31">
        <f>IF($N94="","",$N94*IFERROR(INDEX(Biens!$I$5:$I$14,MATCH($B94,Biens!$A$5:$A$14,0)),0.2))</f>
        <v/>
      </c>
      <c r="P94" s="32">
        <f>IF($N94="","",$N94-$O94)</f>
        <v/>
      </c>
      <c r="Q94" s="25" t="n"/>
      <c r="R94" s="25" t="n"/>
      <c r="S94" s="27" t="n"/>
      <c r="T94" s="26" t="n"/>
    </row>
    <row r="95">
      <c r="A95" s="25" t="n"/>
      <c r="B95" s="25" t="n"/>
      <c r="C95" s="25" t="n"/>
      <c r="D95" s="26" t="n"/>
      <c r="E95" s="25" t="n"/>
      <c r="F95" s="26" t="n"/>
      <c r="G95" s="27" t="n"/>
      <c r="H95" s="27" t="n"/>
      <c r="I95" s="28">
        <f>IF(OR($G95="",$H95=""),"",$H95-$G95)</f>
        <v/>
      </c>
      <c r="J95" s="29" t="n"/>
      <c r="K95" s="30" t="n"/>
      <c r="L95" s="31">
        <f>IF(OR($K95="",$I95=""),"",$K95*$I95)</f>
        <v/>
      </c>
      <c r="M95" s="31">
        <f>IF($L95="","",IF(OR($C95="Airbnb",$C95="Booking"),$L95*$F$3,0))</f>
        <v/>
      </c>
      <c r="N95" s="31">
        <f>IF($L95="","",$L95-$M95)</f>
        <v/>
      </c>
      <c r="O95" s="31">
        <f>IF($N95="","",$N95*IFERROR(INDEX(Biens!$I$5:$I$14,MATCH($B95,Biens!$A$5:$A$14,0)),0.2))</f>
        <v/>
      </c>
      <c r="P95" s="32">
        <f>IF($N95="","",$N95-$O95)</f>
        <v/>
      </c>
      <c r="Q95" s="25" t="n"/>
      <c r="R95" s="25" t="n"/>
      <c r="S95" s="27" t="n"/>
      <c r="T95" s="26" t="n"/>
    </row>
    <row r="96">
      <c r="A96" s="25" t="n"/>
      <c r="B96" s="25" t="n"/>
      <c r="C96" s="25" t="n"/>
      <c r="D96" s="26" t="n"/>
      <c r="E96" s="25" t="n"/>
      <c r="F96" s="26" t="n"/>
      <c r="G96" s="27" t="n"/>
      <c r="H96" s="27" t="n"/>
      <c r="I96" s="28">
        <f>IF(OR($G96="",$H96=""),"",$H96-$G96)</f>
        <v/>
      </c>
      <c r="J96" s="29" t="n"/>
      <c r="K96" s="30" t="n"/>
      <c r="L96" s="31">
        <f>IF(OR($K96="",$I96=""),"",$K96*$I96)</f>
        <v/>
      </c>
      <c r="M96" s="31">
        <f>IF($L96="","",IF(OR($C96="Airbnb",$C96="Booking"),$L96*$F$3,0))</f>
        <v/>
      </c>
      <c r="N96" s="31">
        <f>IF($L96="","",$L96-$M96)</f>
        <v/>
      </c>
      <c r="O96" s="31">
        <f>IF($N96="","",$N96*IFERROR(INDEX(Biens!$I$5:$I$14,MATCH($B96,Biens!$A$5:$A$14,0)),0.2))</f>
        <v/>
      </c>
      <c r="P96" s="32">
        <f>IF($N96="","",$N96-$O96)</f>
        <v/>
      </c>
      <c r="Q96" s="25" t="n"/>
      <c r="R96" s="25" t="n"/>
      <c r="S96" s="27" t="n"/>
      <c r="T96" s="26" t="n"/>
    </row>
    <row r="97">
      <c r="A97" s="25" t="n"/>
      <c r="B97" s="25" t="n"/>
      <c r="C97" s="25" t="n"/>
      <c r="D97" s="26" t="n"/>
      <c r="E97" s="25" t="n"/>
      <c r="F97" s="26" t="n"/>
      <c r="G97" s="27" t="n"/>
      <c r="H97" s="27" t="n"/>
      <c r="I97" s="28">
        <f>IF(OR($G97="",$H97=""),"",$H97-$G97)</f>
        <v/>
      </c>
      <c r="J97" s="29" t="n"/>
      <c r="K97" s="30" t="n"/>
      <c r="L97" s="31">
        <f>IF(OR($K97="",$I97=""),"",$K97*$I97)</f>
        <v/>
      </c>
      <c r="M97" s="31">
        <f>IF($L97="","",IF(OR($C97="Airbnb",$C97="Booking"),$L97*$F$3,0))</f>
        <v/>
      </c>
      <c r="N97" s="31">
        <f>IF($L97="","",$L97-$M97)</f>
        <v/>
      </c>
      <c r="O97" s="31">
        <f>IF($N97="","",$N97*IFERROR(INDEX(Biens!$I$5:$I$14,MATCH($B97,Biens!$A$5:$A$14,0)),0.2))</f>
        <v/>
      </c>
      <c r="P97" s="32">
        <f>IF($N97="","",$N97-$O97)</f>
        <v/>
      </c>
      <c r="Q97" s="25" t="n"/>
      <c r="R97" s="25" t="n"/>
      <c r="S97" s="27" t="n"/>
      <c r="T97" s="26" t="n"/>
    </row>
    <row r="98">
      <c r="A98" s="25" t="n"/>
      <c r="B98" s="25" t="n"/>
      <c r="C98" s="25" t="n"/>
      <c r="D98" s="26" t="n"/>
      <c r="E98" s="25" t="n"/>
      <c r="F98" s="26" t="n"/>
      <c r="G98" s="27" t="n"/>
      <c r="H98" s="27" t="n"/>
      <c r="I98" s="28">
        <f>IF(OR($G98="",$H98=""),"",$H98-$G98)</f>
        <v/>
      </c>
      <c r="J98" s="29" t="n"/>
      <c r="K98" s="30" t="n"/>
      <c r="L98" s="31">
        <f>IF(OR($K98="",$I98=""),"",$K98*$I98)</f>
        <v/>
      </c>
      <c r="M98" s="31">
        <f>IF($L98="","",IF(OR($C98="Airbnb",$C98="Booking"),$L98*$F$3,0))</f>
        <v/>
      </c>
      <c r="N98" s="31">
        <f>IF($L98="","",$L98-$M98)</f>
        <v/>
      </c>
      <c r="O98" s="31">
        <f>IF($N98="","",$N98*IFERROR(INDEX(Biens!$I$5:$I$14,MATCH($B98,Biens!$A$5:$A$14,0)),0.2))</f>
        <v/>
      </c>
      <c r="P98" s="32">
        <f>IF($N98="","",$N98-$O98)</f>
        <v/>
      </c>
      <c r="Q98" s="25" t="n"/>
      <c r="R98" s="25" t="n"/>
      <c r="S98" s="27" t="n"/>
      <c r="T98" s="26" t="n"/>
    </row>
    <row r="99">
      <c r="A99" s="25" t="n"/>
      <c r="B99" s="25" t="n"/>
      <c r="C99" s="25" t="n"/>
      <c r="D99" s="26" t="n"/>
      <c r="E99" s="25" t="n"/>
      <c r="F99" s="26" t="n"/>
      <c r="G99" s="27" t="n"/>
      <c r="H99" s="27" t="n"/>
      <c r="I99" s="28">
        <f>IF(OR($G99="",$H99=""),"",$H99-$G99)</f>
        <v/>
      </c>
      <c r="J99" s="29" t="n"/>
      <c r="K99" s="30" t="n"/>
      <c r="L99" s="31">
        <f>IF(OR($K99="",$I99=""),"",$K99*$I99)</f>
        <v/>
      </c>
      <c r="M99" s="31">
        <f>IF($L99="","",IF(OR($C99="Airbnb",$C99="Booking"),$L99*$F$3,0))</f>
        <v/>
      </c>
      <c r="N99" s="31">
        <f>IF($L99="","",$L99-$M99)</f>
        <v/>
      </c>
      <c r="O99" s="31">
        <f>IF($N99="","",$N99*IFERROR(INDEX(Biens!$I$5:$I$14,MATCH($B99,Biens!$A$5:$A$14,0)),0.2))</f>
        <v/>
      </c>
      <c r="P99" s="32">
        <f>IF($N99="","",$N99-$O99)</f>
        <v/>
      </c>
      <c r="Q99" s="25" t="n"/>
      <c r="R99" s="25" t="n"/>
      <c r="S99" s="27" t="n"/>
      <c r="T99" s="26" t="n"/>
    </row>
    <row r="100">
      <c r="A100" s="25" t="n"/>
      <c r="B100" s="25" t="n"/>
      <c r="C100" s="25" t="n"/>
      <c r="D100" s="26" t="n"/>
      <c r="E100" s="25" t="n"/>
      <c r="F100" s="26" t="n"/>
      <c r="G100" s="27" t="n"/>
      <c r="H100" s="27" t="n"/>
      <c r="I100" s="28">
        <f>IF(OR($G100="",$H100=""),"",$H100-$G100)</f>
        <v/>
      </c>
      <c r="J100" s="29" t="n"/>
      <c r="K100" s="30" t="n"/>
      <c r="L100" s="31">
        <f>IF(OR($K100="",$I100=""),"",$K100*$I100)</f>
        <v/>
      </c>
      <c r="M100" s="31">
        <f>IF($L100="","",IF(OR($C100="Airbnb",$C100="Booking"),$L100*$F$3,0))</f>
        <v/>
      </c>
      <c r="N100" s="31">
        <f>IF($L100="","",$L100-$M100)</f>
        <v/>
      </c>
      <c r="O100" s="31">
        <f>IF($N100="","",$N100*IFERROR(INDEX(Biens!$I$5:$I$14,MATCH($B100,Biens!$A$5:$A$14,0)),0.2))</f>
        <v/>
      </c>
      <c r="P100" s="32">
        <f>IF($N100="","",$N100-$O100)</f>
        <v/>
      </c>
      <c r="Q100" s="25" t="n"/>
      <c r="R100" s="25" t="n"/>
      <c r="S100" s="27" t="n"/>
      <c r="T100" s="26" t="n"/>
    </row>
    <row r="101">
      <c r="A101" s="25" t="n"/>
      <c r="B101" s="25" t="n"/>
      <c r="C101" s="25" t="n"/>
      <c r="D101" s="26" t="n"/>
      <c r="E101" s="25" t="n"/>
      <c r="F101" s="26" t="n"/>
      <c r="G101" s="27" t="n"/>
      <c r="H101" s="27" t="n"/>
      <c r="I101" s="28">
        <f>IF(OR($G101="",$H101=""),"",$H101-$G101)</f>
        <v/>
      </c>
      <c r="J101" s="29" t="n"/>
      <c r="K101" s="30" t="n"/>
      <c r="L101" s="31">
        <f>IF(OR($K101="",$I101=""),"",$K101*$I101)</f>
        <v/>
      </c>
      <c r="M101" s="31">
        <f>IF($L101="","",IF(OR($C101="Airbnb",$C101="Booking"),$L101*$F$3,0))</f>
        <v/>
      </c>
      <c r="N101" s="31">
        <f>IF($L101="","",$L101-$M101)</f>
        <v/>
      </c>
      <c r="O101" s="31">
        <f>IF($N101="","",$N101*IFERROR(INDEX(Biens!$I$5:$I$14,MATCH($B101,Biens!$A$5:$A$14,0)),0.2))</f>
        <v/>
      </c>
      <c r="P101" s="32">
        <f>IF($N101="","",$N101-$O101)</f>
        <v/>
      </c>
      <c r="Q101" s="25" t="n"/>
      <c r="R101" s="25" t="n"/>
      <c r="S101" s="27" t="n"/>
      <c r="T101" s="26" t="n"/>
    </row>
    <row r="102">
      <c r="A102" s="25" t="n"/>
      <c r="B102" s="25" t="n"/>
      <c r="C102" s="25" t="n"/>
      <c r="D102" s="26" t="n"/>
      <c r="E102" s="25" t="n"/>
      <c r="F102" s="26" t="n"/>
      <c r="G102" s="27" t="n"/>
      <c r="H102" s="27" t="n"/>
      <c r="I102" s="28">
        <f>IF(OR($G102="",$H102=""),"",$H102-$G102)</f>
        <v/>
      </c>
      <c r="J102" s="29" t="n"/>
      <c r="K102" s="30" t="n"/>
      <c r="L102" s="31">
        <f>IF(OR($K102="",$I102=""),"",$K102*$I102)</f>
        <v/>
      </c>
      <c r="M102" s="31">
        <f>IF($L102="","",IF(OR($C102="Airbnb",$C102="Booking"),$L102*$F$3,0))</f>
        <v/>
      </c>
      <c r="N102" s="31">
        <f>IF($L102="","",$L102-$M102)</f>
        <v/>
      </c>
      <c r="O102" s="31">
        <f>IF($N102="","",$N102*IFERROR(INDEX(Biens!$I$5:$I$14,MATCH($B102,Biens!$A$5:$A$14,0)),0.2))</f>
        <v/>
      </c>
      <c r="P102" s="32">
        <f>IF($N102="","",$N102-$O102)</f>
        <v/>
      </c>
      <c r="Q102" s="25" t="n"/>
      <c r="R102" s="25" t="n"/>
      <c r="S102" s="27" t="n"/>
      <c r="T102" s="26" t="n"/>
    </row>
    <row r="103">
      <c r="A103" s="25" t="n"/>
      <c r="B103" s="25" t="n"/>
      <c r="C103" s="25" t="n"/>
      <c r="D103" s="26" t="n"/>
      <c r="E103" s="25" t="n"/>
      <c r="F103" s="26" t="n"/>
      <c r="G103" s="27" t="n"/>
      <c r="H103" s="27" t="n"/>
      <c r="I103" s="28">
        <f>IF(OR($G103="",$H103=""),"",$H103-$G103)</f>
        <v/>
      </c>
      <c r="J103" s="29" t="n"/>
      <c r="K103" s="30" t="n"/>
      <c r="L103" s="31">
        <f>IF(OR($K103="",$I103=""),"",$K103*$I103)</f>
        <v/>
      </c>
      <c r="M103" s="31">
        <f>IF($L103="","",IF(OR($C103="Airbnb",$C103="Booking"),$L103*$F$3,0))</f>
        <v/>
      </c>
      <c r="N103" s="31">
        <f>IF($L103="","",$L103-$M103)</f>
        <v/>
      </c>
      <c r="O103" s="31">
        <f>IF($N103="","",$N103*IFERROR(INDEX(Biens!$I$5:$I$14,MATCH($B103,Biens!$A$5:$A$14,0)),0.2))</f>
        <v/>
      </c>
      <c r="P103" s="32">
        <f>IF($N103="","",$N103-$O103)</f>
        <v/>
      </c>
      <c r="Q103" s="25" t="n"/>
      <c r="R103" s="25" t="n"/>
      <c r="S103" s="27" t="n"/>
      <c r="T103" s="26" t="n"/>
    </row>
    <row r="104">
      <c r="A104" s="25" t="n"/>
      <c r="B104" s="25" t="n"/>
      <c r="C104" s="25" t="n"/>
      <c r="D104" s="26" t="n"/>
      <c r="E104" s="25" t="n"/>
      <c r="F104" s="26" t="n"/>
      <c r="G104" s="27" t="n"/>
      <c r="H104" s="27" t="n"/>
      <c r="I104" s="28">
        <f>IF(OR($G104="",$H104=""),"",$H104-$G104)</f>
        <v/>
      </c>
      <c r="J104" s="29" t="n"/>
      <c r="K104" s="30" t="n"/>
      <c r="L104" s="31">
        <f>IF(OR($K104="",$I104=""),"",$K104*$I104)</f>
        <v/>
      </c>
      <c r="M104" s="31">
        <f>IF($L104="","",IF(OR($C104="Airbnb",$C104="Booking"),$L104*$F$3,0))</f>
        <v/>
      </c>
      <c r="N104" s="31">
        <f>IF($L104="","",$L104-$M104)</f>
        <v/>
      </c>
      <c r="O104" s="31">
        <f>IF($N104="","",$N104*IFERROR(INDEX(Biens!$I$5:$I$14,MATCH($B104,Biens!$A$5:$A$14,0)),0.2))</f>
        <v/>
      </c>
      <c r="P104" s="32">
        <f>IF($N104="","",$N104-$O104)</f>
        <v/>
      </c>
      <c r="Q104" s="25" t="n"/>
      <c r="R104" s="25" t="n"/>
      <c r="S104" s="27" t="n"/>
      <c r="T104" s="26" t="n"/>
    </row>
    <row r="105">
      <c r="A105" s="25" t="n"/>
      <c r="B105" s="25" t="n"/>
      <c r="C105" s="25" t="n"/>
      <c r="D105" s="26" t="n"/>
      <c r="E105" s="25" t="n"/>
      <c r="F105" s="26" t="n"/>
      <c r="G105" s="27" t="n"/>
      <c r="H105" s="27" t="n"/>
      <c r="I105" s="28">
        <f>IF(OR($G105="",$H105=""),"",$H105-$G105)</f>
        <v/>
      </c>
      <c r="J105" s="29" t="n"/>
      <c r="K105" s="30" t="n"/>
      <c r="L105" s="31">
        <f>IF(OR($K105="",$I105=""),"",$K105*$I105)</f>
        <v/>
      </c>
      <c r="M105" s="31">
        <f>IF($L105="","",IF(OR($C105="Airbnb",$C105="Booking"),$L105*$F$3,0))</f>
        <v/>
      </c>
      <c r="N105" s="31">
        <f>IF($L105="","",$L105-$M105)</f>
        <v/>
      </c>
      <c r="O105" s="31">
        <f>IF($N105="","",$N105*IFERROR(INDEX(Biens!$I$5:$I$14,MATCH($B105,Biens!$A$5:$A$14,0)),0.2))</f>
        <v/>
      </c>
      <c r="P105" s="32">
        <f>IF($N105="","",$N105-$O105)</f>
        <v/>
      </c>
      <c r="Q105" s="25" t="n"/>
      <c r="R105" s="25" t="n"/>
      <c r="S105" s="27" t="n"/>
      <c r="T105" s="26" t="n"/>
    </row>
    <row r="106">
      <c r="A106" s="25" t="n"/>
      <c r="B106" s="25" t="n"/>
      <c r="C106" s="25" t="n"/>
      <c r="D106" s="26" t="n"/>
      <c r="E106" s="25" t="n"/>
      <c r="F106" s="26" t="n"/>
      <c r="G106" s="27" t="n"/>
      <c r="H106" s="27" t="n"/>
      <c r="I106" s="28">
        <f>IF(OR($G106="",$H106=""),"",$H106-$G106)</f>
        <v/>
      </c>
      <c r="J106" s="29" t="n"/>
      <c r="K106" s="30" t="n"/>
      <c r="L106" s="31">
        <f>IF(OR($K106="",$I106=""),"",$K106*$I106)</f>
        <v/>
      </c>
      <c r="M106" s="31">
        <f>IF($L106="","",IF(OR($C106="Airbnb",$C106="Booking"),$L106*$F$3,0))</f>
        <v/>
      </c>
      <c r="N106" s="31">
        <f>IF($L106="","",$L106-$M106)</f>
        <v/>
      </c>
      <c r="O106" s="31">
        <f>IF($N106="","",$N106*IFERROR(INDEX(Biens!$I$5:$I$14,MATCH($B106,Biens!$A$5:$A$14,0)),0.2))</f>
        <v/>
      </c>
      <c r="P106" s="32">
        <f>IF($N106="","",$N106-$O106)</f>
        <v/>
      </c>
      <c r="Q106" s="25" t="n"/>
      <c r="R106" s="25" t="n"/>
      <c r="S106" s="27" t="n"/>
      <c r="T106" s="26" t="n"/>
    </row>
    <row r="107">
      <c r="A107" s="25" t="n"/>
      <c r="B107" s="25" t="n"/>
      <c r="C107" s="25" t="n"/>
      <c r="D107" s="26" t="n"/>
      <c r="E107" s="25" t="n"/>
      <c r="F107" s="26" t="n"/>
      <c r="G107" s="27" t="n"/>
      <c r="H107" s="27" t="n"/>
      <c r="I107" s="28">
        <f>IF(OR($G107="",$H107=""),"",$H107-$G107)</f>
        <v/>
      </c>
      <c r="J107" s="29" t="n"/>
      <c r="K107" s="30" t="n"/>
      <c r="L107" s="31">
        <f>IF(OR($K107="",$I107=""),"",$K107*$I107)</f>
        <v/>
      </c>
      <c r="M107" s="31">
        <f>IF($L107="","",IF(OR($C107="Airbnb",$C107="Booking"),$L107*$F$3,0))</f>
        <v/>
      </c>
      <c r="N107" s="31">
        <f>IF($L107="","",$L107-$M107)</f>
        <v/>
      </c>
      <c r="O107" s="31">
        <f>IF($N107="","",$N107*IFERROR(INDEX(Biens!$I$5:$I$14,MATCH($B107,Biens!$A$5:$A$14,0)),0.2))</f>
        <v/>
      </c>
      <c r="P107" s="32">
        <f>IF($N107="","",$N107-$O107)</f>
        <v/>
      </c>
      <c r="Q107" s="25" t="n"/>
      <c r="R107" s="25" t="n"/>
      <c r="S107" s="27" t="n"/>
      <c r="T107" s="26" t="n"/>
    </row>
    <row r="108">
      <c r="A108" s="25" t="n"/>
      <c r="B108" s="25" t="n"/>
      <c r="C108" s="25" t="n"/>
      <c r="D108" s="26" t="n"/>
      <c r="E108" s="25" t="n"/>
      <c r="F108" s="26" t="n"/>
      <c r="G108" s="27" t="n"/>
      <c r="H108" s="27" t="n"/>
      <c r="I108" s="28">
        <f>IF(OR($G108="",$H108=""),"",$H108-$G108)</f>
        <v/>
      </c>
      <c r="J108" s="29" t="n"/>
      <c r="K108" s="30" t="n"/>
      <c r="L108" s="31">
        <f>IF(OR($K108="",$I108=""),"",$K108*$I108)</f>
        <v/>
      </c>
      <c r="M108" s="31">
        <f>IF($L108="","",IF(OR($C108="Airbnb",$C108="Booking"),$L108*$F$3,0))</f>
        <v/>
      </c>
      <c r="N108" s="31">
        <f>IF($L108="","",$L108-$M108)</f>
        <v/>
      </c>
      <c r="O108" s="31">
        <f>IF($N108="","",$N108*IFERROR(INDEX(Biens!$I$5:$I$14,MATCH($B108,Biens!$A$5:$A$14,0)),0.2))</f>
        <v/>
      </c>
      <c r="P108" s="32">
        <f>IF($N108="","",$N108-$O108)</f>
        <v/>
      </c>
      <c r="Q108" s="25" t="n"/>
      <c r="R108" s="25" t="n"/>
      <c r="S108" s="27" t="n"/>
      <c r="T108" s="26" t="n"/>
    </row>
    <row r="109">
      <c r="A109" s="25" t="n"/>
      <c r="B109" s="25" t="n"/>
      <c r="C109" s="25" t="n"/>
      <c r="D109" s="26" t="n"/>
      <c r="E109" s="25" t="n"/>
      <c r="F109" s="26" t="n"/>
      <c r="G109" s="27" t="n"/>
      <c r="H109" s="27" t="n"/>
      <c r="I109" s="28">
        <f>IF(OR($G109="",$H109=""),"",$H109-$G109)</f>
        <v/>
      </c>
      <c r="J109" s="29" t="n"/>
      <c r="K109" s="30" t="n"/>
      <c r="L109" s="31">
        <f>IF(OR($K109="",$I109=""),"",$K109*$I109)</f>
        <v/>
      </c>
      <c r="M109" s="31">
        <f>IF($L109="","",IF(OR($C109="Airbnb",$C109="Booking"),$L109*$F$3,0))</f>
        <v/>
      </c>
      <c r="N109" s="31">
        <f>IF($L109="","",$L109-$M109)</f>
        <v/>
      </c>
      <c r="O109" s="31">
        <f>IF($N109="","",$N109*IFERROR(INDEX(Biens!$I$5:$I$14,MATCH($B109,Biens!$A$5:$A$14,0)),0.2))</f>
        <v/>
      </c>
      <c r="P109" s="32">
        <f>IF($N109="","",$N109-$O109)</f>
        <v/>
      </c>
      <c r="Q109" s="25" t="n"/>
      <c r="R109" s="25" t="n"/>
      <c r="S109" s="27" t="n"/>
      <c r="T109" s="26" t="n"/>
    </row>
    <row r="110">
      <c r="A110" s="25" t="n"/>
      <c r="B110" s="25" t="n"/>
      <c r="C110" s="25" t="n"/>
      <c r="D110" s="26" t="n"/>
      <c r="E110" s="25" t="n"/>
      <c r="F110" s="26" t="n"/>
      <c r="G110" s="27" t="n"/>
      <c r="H110" s="27" t="n"/>
      <c r="I110" s="28">
        <f>IF(OR($G110="",$H110=""),"",$H110-$G110)</f>
        <v/>
      </c>
      <c r="J110" s="29" t="n"/>
      <c r="K110" s="30" t="n"/>
      <c r="L110" s="31">
        <f>IF(OR($K110="",$I110=""),"",$K110*$I110)</f>
        <v/>
      </c>
      <c r="M110" s="31">
        <f>IF($L110="","",IF(OR($C110="Airbnb",$C110="Booking"),$L110*$F$3,0))</f>
        <v/>
      </c>
      <c r="N110" s="31">
        <f>IF($L110="","",$L110-$M110)</f>
        <v/>
      </c>
      <c r="O110" s="31">
        <f>IF($N110="","",$N110*IFERROR(INDEX(Biens!$I$5:$I$14,MATCH($B110,Biens!$A$5:$A$14,0)),0.2))</f>
        <v/>
      </c>
      <c r="P110" s="32">
        <f>IF($N110="","",$N110-$O110)</f>
        <v/>
      </c>
      <c r="Q110" s="25" t="n"/>
      <c r="R110" s="25" t="n"/>
      <c r="S110" s="27" t="n"/>
      <c r="T110" s="26" t="n"/>
    </row>
    <row r="111">
      <c r="A111" s="25" t="n"/>
      <c r="B111" s="25" t="n"/>
      <c r="C111" s="25" t="n"/>
      <c r="D111" s="26" t="n"/>
      <c r="E111" s="25" t="n"/>
      <c r="F111" s="26" t="n"/>
      <c r="G111" s="27" t="n"/>
      <c r="H111" s="27" t="n"/>
      <c r="I111" s="28">
        <f>IF(OR($G111="",$H111=""),"",$H111-$G111)</f>
        <v/>
      </c>
      <c r="J111" s="29" t="n"/>
      <c r="K111" s="30" t="n"/>
      <c r="L111" s="31">
        <f>IF(OR($K111="",$I111=""),"",$K111*$I111)</f>
        <v/>
      </c>
      <c r="M111" s="31">
        <f>IF($L111="","",IF(OR($C111="Airbnb",$C111="Booking"),$L111*$F$3,0))</f>
        <v/>
      </c>
      <c r="N111" s="31">
        <f>IF($L111="","",$L111-$M111)</f>
        <v/>
      </c>
      <c r="O111" s="31">
        <f>IF($N111="","",$N111*IFERROR(INDEX(Biens!$I$5:$I$14,MATCH($B111,Biens!$A$5:$A$14,0)),0.2))</f>
        <v/>
      </c>
      <c r="P111" s="32">
        <f>IF($N111="","",$N111-$O111)</f>
        <v/>
      </c>
      <c r="Q111" s="25" t="n"/>
      <c r="R111" s="25" t="n"/>
      <c r="S111" s="27" t="n"/>
      <c r="T111" s="26" t="n"/>
    </row>
    <row r="112">
      <c r="A112" s="25" t="n"/>
      <c r="B112" s="25" t="n"/>
      <c r="C112" s="25" t="n"/>
      <c r="D112" s="26" t="n"/>
      <c r="E112" s="25" t="n"/>
      <c r="F112" s="26" t="n"/>
      <c r="G112" s="27" t="n"/>
      <c r="H112" s="27" t="n"/>
      <c r="I112" s="28">
        <f>IF(OR($G112="",$H112=""),"",$H112-$G112)</f>
        <v/>
      </c>
      <c r="J112" s="29" t="n"/>
      <c r="K112" s="30" t="n"/>
      <c r="L112" s="31">
        <f>IF(OR($K112="",$I112=""),"",$K112*$I112)</f>
        <v/>
      </c>
      <c r="M112" s="31">
        <f>IF($L112="","",IF(OR($C112="Airbnb",$C112="Booking"),$L112*$F$3,0))</f>
        <v/>
      </c>
      <c r="N112" s="31">
        <f>IF($L112="","",$L112-$M112)</f>
        <v/>
      </c>
      <c r="O112" s="31">
        <f>IF($N112="","",$N112*IFERROR(INDEX(Biens!$I$5:$I$14,MATCH($B112,Biens!$A$5:$A$14,0)),0.2))</f>
        <v/>
      </c>
      <c r="P112" s="32">
        <f>IF($N112="","",$N112-$O112)</f>
        <v/>
      </c>
      <c r="Q112" s="25" t="n"/>
      <c r="R112" s="25" t="n"/>
      <c r="S112" s="27" t="n"/>
      <c r="T112" s="26" t="n"/>
    </row>
    <row r="113">
      <c r="A113" s="25" t="n"/>
      <c r="B113" s="25" t="n"/>
      <c r="C113" s="25" t="n"/>
      <c r="D113" s="26" t="n"/>
      <c r="E113" s="25" t="n"/>
      <c r="F113" s="26" t="n"/>
      <c r="G113" s="27" t="n"/>
      <c r="H113" s="27" t="n"/>
      <c r="I113" s="28">
        <f>IF(OR($G113="",$H113=""),"",$H113-$G113)</f>
        <v/>
      </c>
      <c r="J113" s="29" t="n"/>
      <c r="K113" s="30" t="n"/>
      <c r="L113" s="31">
        <f>IF(OR($K113="",$I113=""),"",$K113*$I113)</f>
        <v/>
      </c>
      <c r="M113" s="31">
        <f>IF($L113="","",IF(OR($C113="Airbnb",$C113="Booking"),$L113*$F$3,0))</f>
        <v/>
      </c>
      <c r="N113" s="31">
        <f>IF($L113="","",$L113-$M113)</f>
        <v/>
      </c>
      <c r="O113" s="31">
        <f>IF($N113="","",$N113*IFERROR(INDEX(Biens!$I$5:$I$14,MATCH($B113,Biens!$A$5:$A$14,0)),0.2))</f>
        <v/>
      </c>
      <c r="P113" s="32">
        <f>IF($N113="","",$N113-$O113)</f>
        <v/>
      </c>
      <c r="Q113" s="25" t="n"/>
      <c r="R113" s="25" t="n"/>
      <c r="S113" s="27" t="n"/>
      <c r="T113" s="26" t="n"/>
    </row>
    <row r="114">
      <c r="A114" s="25" t="n"/>
      <c r="B114" s="25" t="n"/>
      <c r="C114" s="25" t="n"/>
      <c r="D114" s="26" t="n"/>
      <c r="E114" s="25" t="n"/>
      <c r="F114" s="26" t="n"/>
      <c r="G114" s="27" t="n"/>
      <c r="H114" s="27" t="n"/>
      <c r="I114" s="28">
        <f>IF(OR($G114="",$H114=""),"",$H114-$G114)</f>
        <v/>
      </c>
      <c r="J114" s="29" t="n"/>
      <c r="K114" s="30" t="n"/>
      <c r="L114" s="31">
        <f>IF(OR($K114="",$I114=""),"",$K114*$I114)</f>
        <v/>
      </c>
      <c r="M114" s="31">
        <f>IF($L114="","",IF(OR($C114="Airbnb",$C114="Booking"),$L114*$F$3,0))</f>
        <v/>
      </c>
      <c r="N114" s="31">
        <f>IF($L114="","",$L114-$M114)</f>
        <v/>
      </c>
      <c r="O114" s="31">
        <f>IF($N114="","",$N114*IFERROR(INDEX(Biens!$I$5:$I$14,MATCH($B114,Biens!$A$5:$A$14,0)),0.2))</f>
        <v/>
      </c>
      <c r="P114" s="32">
        <f>IF($N114="","",$N114-$O114)</f>
        <v/>
      </c>
      <c r="Q114" s="25" t="n"/>
      <c r="R114" s="25" t="n"/>
      <c r="S114" s="27" t="n"/>
      <c r="T114" s="26" t="n"/>
    </row>
    <row r="115">
      <c r="A115" s="25" t="n"/>
      <c r="B115" s="25" t="n"/>
      <c r="C115" s="25" t="n"/>
      <c r="D115" s="26" t="n"/>
      <c r="E115" s="25" t="n"/>
      <c r="F115" s="26" t="n"/>
      <c r="G115" s="27" t="n"/>
      <c r="H115" s="27" t="n"/>
      <c r="I115" s="28">
        <f>IF(OR($G115="",$H115=""),"",$H115-$G115)</f>
        <v/>
      </c>
      <c r="J115" s="29" t="n"/>
      <c r="K115" s="30" t="n"/>
      <c r="L115" s="31">
        <f>IF(OR($K115="",$I115=""),"",$K115*$I115)</f>
        <v/>
      </c>
      <c r="M115" s="31">
        <f>IF($L115="","",IF(OR($C115="Airbnb",$C115="Booking"),$L115*$F$3,0))</f>
        <v/>
      </c>
      <c r="N115" s="31">
        <f>IF($L115="","",$L115-$M115)</f>
        <v/>
      </c>
      <c r="O115" s="31">
        <f>IF($N115="","",$N115*IFERROR(INDEX(Biens!$I$5:$I$14,MATCH($B115,Biens!$A$5:$A$14,0)),0.2))</f>
        <v/>
      </c>
      <c r="P115" s="32">
        <f>IF($N115="","",$N115-$O115)</f>
        <v/>
      </c>
      <c r="Q115" s="25" t="n"/>
      <c r="R115" s="25" t="n"/>
      <c r="S115" s="27" t="n"/>
      <c r="T115" s="26" t="n"/>
    </row>
    <row r="116">
      <c r="A116" s="25" t="n"/>
      <c r="B116" s="25" t="n"/>
      <c r="C116" s="25" t="n"/>
      <c r="D116" s="26" t="n"/>
      <c r="E116" s="25" t="n"/>
      <c r="F116" s="26" t="n"/>
      <c r="G116" s="27" t="n"/>
      <c r="H116" s="27" t="n"/>
      <c r="I116" s="28">
        <f>IF(OR($G116="",$H116=""),"",$H116-$G116)</f>
        <v/>
      </c>
      <c r="J116" s="29" t="n"/>
      <c r="K116" s="30" t="n"/>
      <c r="L116" s="31">
        <f>IF(OR($K116="",$I116=""),"",$K116*$I116)</f>
        <v/>
      </c>
      <c r="M116" s="31">
        <f>IF($L116="","",IF(OR($C116="Airbnb",$C116="Booking"),$L116*$F$3,0))</f>
        <v/>
      </c>
      <c r="N116" s="31">
        <f>IF($L116="","",$L116-$M116)</f>
        <v/>
      </c>
      <c r="O116" s="31">
        <f>IF($N116="","",$N116*IFERROR(INDEX(Biens!$I$5:$I$14,MATCH($B116,Biens!$A$5:$A$14,0)),0.2))</f>
        <v/>
      </c>
      <c r="P116" s="32">
        <f>IF($N116="","",$N116-$O116)</f>
        <v/>
      </c>
      <c r="Q116" s="25" t="n"/>
      <c r="R116" s="25" t="n"/>
      <c r="S116" s="27" t="n"/>
      <c r="T116" s="26" t="n"/>
    </row>
    <row r="117">
      <c r="A117" s="25" t="n"/>
      <c r="B117" s="25" t="n"/>
      <c r="C117" s="25" t="n"/>
      <c r="D117" s="26" t="n"/>
      <c r="E117" s="25" t="n"/>
      <c r="F117" s="26" t="n"/>
      <c r="G117" s="27" t="n"/>
      <c r="H117" s="27" t="n"/>
      <c r="I117" s="28">
        <f>IF(OR($G117="",$H117=""),"",$H117-$G117)</f>
        <v/>
      </c>
      <c r="J117" s="29" t="n"/>
      <c r="K117" s="30" t="n"/>
      <c r="L117" s="31">
        <f>IF(OR($K117="",$I117=""),"",$K117*$I117)</f>
        <v/>
      </c>
      <c r="M117" s="31">
        <f>IF($L117="","",IF(OR($C117="Airbnb",$C117="Booking"),$L117*$F$3,0))</f>
        <v/>
      </c>
      <c r="N117" s="31">
        <f>IF($L117="","",$L117-$M117)</f>
        <v/>
      </c>
      <c r="O117" s="31">
        <f>IF($N117="","",$N117*IFERROR(INDEX(Biens!$I$5:$I$14,MATCH($B117,Biens!$A$5:$A$14,0)),0.2))</f>
        <v/>
      </c>
      <c r="P117" s="32">
        <f>IF($N117="","",$N117-$O117)</f>
        <v/>
      </c>
      <c r="Q117" s="25" t="n"/>
      <c r="R117" s="25" t="n"/>
      <c r="S117" s="27" t="n"/>
      <c r="T117" s="26" t="n"/>
    </row>
    <row r="118">
      <c r="A118" s="25" t="n"/>
      <c r="B118" s="25" t="n"/>
      <c r="C118" s="25" t="n"/>
      <c r="D118" s="26" t="n"/>
      <c r="E118" s="25" t="n"/>
      <c r="F118" s="26" t="n"/>
      <c r="G118" s="27" t="n"/>
      <c r="H118" s="27" t="n"/>
      <c r="I118" s="28">
        <f>IF(OR($G118="",$H118=""),"",$H118-$G118)</f>
        <v/>
      </c>
      <c r="J118" s="29" t="n"/>
      <c r="K118" s="30" t="n"/>
      <c r="L118" s="31">
        <f>IF(OR($K118="",$I118=""),"",$K118*$I118)</f>
        <v/>
      </c>
      <c r="M118" s="31">
        <f>IF($L118="","",IF(OR($C118="Airbnb",$C118="Booking"),$L118*$F$3,0))</f>
        <v/>
      </c>
      <c r="N118" s="31">
        <f>IF($L118="","",$L118-$M118)</f>
        <v/>
      </c>
      <c r="O118" s="31">
        <f>IF($N118="","",$N118*IFERROR(INDEX(Biens!$I$5:$I$14,MATCH($B118,Biens!$A$5:$A$14,0)),0.2))</f>
        <v/>
      </c>
      <c r="P118" s="32">
        <f>IF($N118="","",$N118-$O118)</f>
        <v/>
      </c>
      <c r="Q118" s="25" t="n"/>
      <c r="R118" s="25" t="n"/>
      <c r="S118" s="27" t="n"/>
      <c r="T118" s="26" t="n"/>
    </row>
    <row r="119">
      <c r="A119" s="25" t="n"/>
      <c r="B119" s="25" t="n"/>
      <c r="C119" s="25" t="n"/>
      <c r="D119" s="26" t="n"/>
      <c r="E119" s="25" t="n"/>
      <c r="F119" s="26" t="n"/>
      <c r="G119" s="27" t="n"/>
      <c r="H119" s="27" t="n"/>
      <c r="I119" s="28">
        <f>IF(OR($G119="",$H119=""),"",$H119-$G119)</f>
        <v/>
      </c>
      <c r="J119" s="29" t="n"/>
      <c r="K119" s="30" t="n"/>
      <c r="L119" s="31">
        <f>IF(OR($K119="",$I119=""),"",$K119*$I119)</f>
        <v/>
      </c>
      <c r="M119" s="31">
        <f>IF($L119="","",IF(OR($C119="Airbnb",$C119="Booking"),$L119*$F$3,0))</f>
        <v/>
      </c>
      <c r="N119" s="31">
        <f>IF($L119="","",$L119-$M119)</f>
        <v/>
      </c>
      <c r="O119" s="31">
        <f>IF($N119="","",$N119*IFERROR(INDEX(Biens!$I$5:$I$14,MATCH($B119,Biens!$A$5:$A$14,0)),0.2))</f>
        <v/>
      </c>
      <c r="P119" s="32">
        <f>IF($N119="","",$N119-$O119)</f>
        <v/>
      </c>
      <c r="Q119" s="25" t="n"/>
      <c r="R119" s="25" t="n"/>
      <c r="S119" s="27" t="n"/>
      <c r="T119" s="26" t="n"/>
    </row>
    <row r="120">
      <c r="A120" s="25" t="n"/>
      <c r="B120" s="25" t="n"/>
      <c r="C120" s="25" t="n"/>
      <c r="D120" s="26" t="n"/>
      <c r="E120" s="25" t="n"/>
      <c r="F120" s="26" t="n"/>
      <c r="G120" s="27" t="n"/>
      <c r="H120" s="27" t="n"/>
      <c r="I120" s="28">
        <f>IF(OR($G120="",$H120=""),"",$H120-$G120)</f>
        <v/>
      </c>
      <c r="J120" s="29" t="n"/>
      <c r="K120" s="30" t="n"/>
      <c r="L120" s="31">
        <f>IF(OR($K120="",$I120=""),"",$K120*$I120)</f>
        <v/>
      </c>
      <c r="M120" s="31">
        <f>IF($L120="","",IF(OR($C120="Airbnb",$C120="Booking"),$L120*$F$3,0))</f>
        <v/>
      </c>
      <c r="N120" s="31">
        <f>IF($L120="","",$L120-$M120)</f>
        <v/>
      </c>
      <c r="O120" s="31">
        <f>IF($N120="","",$N120*IFERROR(INDEX(Biens!$I$5:$I$14,MATCH($B120,Biens!$A$5:$A$14,0)),0.2))</f>
        <v/>
      </c>
      <c r="P120" s="32">
        <f>IF($N120="","",$N120-$O120)</f>
        <v/>
      </c>
      <c r="Q120" s="25" t="n"/>
      <c r="R120" s="25" t="n"/>
      <c r="S120" s="27" t="n"/>
      <c r="T120" s="26" t="n"/>
    </row>
    <row r="121">
      <c r="A121" s="25" t="n"/>
      <c r="B121" s="25" t="n"/>
      <c r="C121" s="25" t="n"/>
      <c r="D121" s="26" t="n"/>
      <c r="E121" s="25" t="n"/>
      <c r="F121" s="26" t="n"/>
      <c r="G121" s="27" t="n"/>
      <c r="H121" s="27" t="n"/>
      <c r="I121" s="28">
        <f>IF(OR($G121="",$H121=""),"",$H121-$G121)</f>
        <v/>
      </c>
      <c r="J121" s="29" t="n"/>
      <c r="K121" s="30" t="n"/>
      <c r="L121" s="31">
        <f>IF(OR($K121="",$I121=""),"",$K121*$I121)</f>
        <v/>
      </c>
      <c r="M121" s="31">
        <f>IF($L121="","",IF(OR($C121="Airbnb",$C121="Booking"),$L121*$F$3,0))</f>
        <v/>
      </c>
      <c r="N121" s="31">
        <f>IF($L121="","",$L121-$M121)</f>
        <v/>
      </c>
      <c r="O121" s="31">
        <f>IF($N121="","",$N121*IFERROR(INDEX(Biens!$I$5:$I$14,MATCH($B121,Biens!$A$5:$A$14,0)),0.2))</f>
        <v/>
      </c>
      <c r="P121" s="32">
        <f>IF($N121="","",$N121-$O121)</f>
        <v/>
      </c>
      <c r="Q121" s="25" t="n"/>
      <c r="R121" s="25" t="n"/>
      <c r="S121" s="27" t="n"/>
      <c r="T121" s="26" t="n"/>
    </row>
    <row r="122">
      <c r="A122" s="25" t="n"/>
      <c r="B122" s="25" t="n"/>
      <c r="C122" s="25" t="n"/>
      <c r="D122" s="26" t="n"/>
      <c r="E122" s="25" t="n"/>
      <c r="F122" s="26" t="n"/>
      <c r="G122" s="27" t="n"/>
      <c r="H122" s="27" t="n"/>
      <c r="I122" s="28">
        <f>IF(OR($G122="",$H122=""),"",$H122-$G122)</f>
        <v/>
      </c>
      <c r="J122" s="29" t="n"/>
      <c r="K122" s="30" t="n"/>
      <c r="L122" s="31">
        <f>IF(OR($K122="",$I122=""),"",$K122*$I122)</f>
        <v/>
      </c>
      <c r="M122" s="31">
        <f>IF($L122="","",IF(OR($C122="Airbnb",$C122="Booking"),$L122*$F$3,0))</f>
        <v/>
      </c>
      <c r="N122" s="31">
        <f>IF($L122="","",$L122-$M122)</f>
        <v/>
      </c>
      <c r="O122" s="31">
        <f>IF($N122="","",$N122*IFERROR(INDEX(Biens!$I$5:$I$14,MATCH($B122,Biens!$A$5:$A$14,0)),0.2))</f>
        <v/>
      </c>
      <c r="P122" s="32">
        <f>IF($N122="","",$N122-$O122)</f>
        <v/>
      </c>
      <c r="Q122" s="25" t="n"/>
      <c r="R122" s="25" t="n"/>
      <c r="S122" s="27" t="n"/>
      <c r="T122" s="26" t="n"/>
    </row>
    <row r="123">
      <c r="A123" s="25" t="n"/>
      <c r="B123" s="25" t="n"/>
      <c r="C123" s="25" t="n"/>
      <c r="D123" s="26" t="n"/>
      <c r="E123" s="25" t="n"/>
      <c r="F123" s="26" t="n"/>
      <c r="G123" s="27" t="n"/>
      <c r="H123" s="27" t="n"/>
      <c r="I123" s="28">
        <f>IF(OR($G123="",$H123=""),"",$H123-$G123)</f>
        <v/>
      </c>
      <c r="J123" s="29" t="n"/>
      <c r="K123" s="30" t="n"/>
      <c r="L123" s="31">
        <f>IF(OR($K123="",$I123=""),"",$K123*$I123)</f>
        <v/>
      </c>
      <c r="M123" s="31">
        <f>IF($L123="","",IF(OR($C123="Airbnb",$C123="Booking"),$L123*$F$3,0))</f>
        <v/>
      </c>
      <c r="N123" s="31">
        <f>IF($L123="","",$L123-$M123)</f>
        <v/>
      </c>
      <c r="O123" s="31">
        <f>IF($N123="","",$N123*IFERROR(INDEX(Biens!$I$5:$I$14,MATCH($B123,Biens!$A$5:$A$14,0)),0.2))</f>
        <v/>
      </c>
      <c r="P123" s="32">
        <f>IF($N123="","",$N123-$O123)</f>
        <v/>
      </c>
      <c r="Q123" s="25" t="n"/>
      <c r="R123" s="25" t="n"/>
      <c r="S123" s="27" t="n"/>
      <c r="T123" s="26" t="n"/>
    </row>
    <row r="124">
      <c r="A124" s="25" t="n"/>
      <c r="B124" s="25" t="n"/>
      <c r="C124" s="25" t="n"/>
      <c r="D124" s="26" t="n"/>
      <c r="E124" s="25" t="n"/>
      <c r="F124" s="26" t="n"/>
      <c r="G124" s="27" t="n"/>
      <c r="H124" s="27" t="n"/>
      <c r="I124" s="28">
        <f>IF(OR($G124="",$H124=""),"",$H124-$G124)</f>
        <v/>
      </c>
      <c r="J124" s="29" t="n"/>
      <c r="K124" s="30" t="n"/>
      <c r="L124" s="31">
        <f>IF(OR($K124="",$I124=""),"",$K124*$I124)</f>
        <v/>
      </c>
      <c r="M124" s="31">
        <f>IF($L124="","",IF(OR($C124="Airbnb",$C124="Booking"),$L124*$F$3,0))</f>
        <v/>
      </c>
      <c r="N124" s="31">
        <f>IF($L124="","",$L124-$M124)</f>
        <v/>
      </c>
      <c r="O124" s="31">
        <f>IF($N124="","",$N124*IFERROR(INDEX(Biens!$I$5:$I$14,MATCH($B124,Biens!$A$5:$A$14,0)),0.2))</f>
        <v/>
      </c>
      <c r="P124" s="32">
        <f>IF($N124="","",$N124-$O124)</f>
        <v/>
      </c>
      <c r="Q124" s="25" t="n"/>
      <c r="R124" s="25" t="n"/>
      <c r="S124" s="27" t="n"/>
      <c r="T124" s="26" t="n"/>
    </row>
    <row r="125">
      <c r="A125" s="25" t="n"/>
      <c r="B125" s="25" t="n"/>
      <c r="C125" s="25" t="n"/>
      <c r="D125" s="26" t="n"/>
      <c r="E125" s="25" t="n"/>
      <c r="F125" s="26" t="n"/>
      <c r="G125" s="27" t="n"/>
      <c r="H125" s="27" t="n"/>
      <c r="I125" s="28">
        <f>IF(OR($G125="",$H125=""),"",$H125-$G125)</f>
        <v/>
      </c>
      <c r="J125" s="29" t="n"/>
      <c r="K125" s="30" t="n"/>
      <c r="L125" s="31">
        <f>IF(OR($K125="",$I125=""),"",$K125*$I125)</f>
        <v/>
      </c>
      <c r="M125" s="31">
        <f>IF($L125="","",IF(OR($C125="Airbnb",$C125="Booking"),$L125*$F$3,0))</f>
        <v/>
      </c>
      <c r="N125" s="31">
        <f>IF($L125="","",$L125-$M125)</f>
        <v/>
      </c>
      <c r="O125" s="31">
        <f>IF($N125="","",$N125*IFERROR(INDEX(Biens!$I$5:$I$14,MATCH($B125,Biens!$A$5:$A$14,0)),0.2))</f>
        <v/>
      </c>
      <c r="P125" s="32">
        <f>IF($N125="","",$N125-$O125)</f>
        <v/>
      </c>
      <c r="Q125" s="25" t="n"/>
      <c r="R125" s="25" t="n"/>
      <c r="S125" s="27" t="n"/>
      <c r="T125" s="26" t="n"/>
    </row>
    <row r="126">
      <c r="A126" s="25" t="n"/>
      <c r="B126" s="25" t="n"/>
      <c r="C126" s="25" t="n"/>
      <c r="D126" s="26" t="n"/>
      <c r="E126" s="25" t="n"/>
      <c r="F126" s="26" t="n"/>
      <c r="G126" s="27" t="n"/>
      <c r="H126" s="27" t="n"/>
      <c r="I126" s="28">
        <f>IF(OR($G126="",$H126=""),"",$H126-$G126)</f>
        <v/>
      </c>
      <c r="J126" s="29" t="n"/>
      <c r="K126" s="30" t="n"/>
      <c r="L126" s="31">
        <f>IF(OR($K126="",$I126=""),"",$K126*$I126)</f>
        <v/>
      </c>
      <c r="M126" s="31">
        <f>IF($L126="","",IF(OR($C126="Airbnb",$C126="Booking"),$L126*$F$3,0))</f>
        <v/>
      </c>
      <c r="N126" s="31">
        <f>IF($L126="","",$L126-$M126)</f>
        <v/>
      </c>
      <c r="O126" s="31">
        <f>IF($N126="","",$N126*IFERROR(INDEX(Biens!$I$5:$I$14,MATCH($B126,Biens!$A$5:$A$14,0)),0.2))</f>
        <v/>
      </c>
      <c r="P126" s="32">
        <f>IF($N126="","",$N126-$O126)</f>
        <v/>
      </c>
      <c r="Q126" s="25" t="n"/>
      <c r="R126" s="25" t="n"/>
      <c r="S126" s="27" t="n"/>
      <c r="T126" s="26" t="n"/>
    </row>
    <row r="127">
      <c r="A127" s="25" t="n"/>
      <c r="B127" s="25" t="n"/>
      <c r="C127" s="25" t="n"/>
      <c r="D127" s="26" t="n"/>
      <c r="E127" s="25" t="n"/>
      <c r="F127" s="26" t="n"/>
      <c r="G127" s="27" t="n"/>
      <c r="H127" s="27" t="n"/>
      <c r="I127" s="28">
        <f>IF(OR($G127="",$H127=""),"",$H127-$G127)</f>
        <v/>
      </c>
      <c r="J127" s="29" t="n"/>
      <c r="K127" s="30" t="n"/>
      <c r="L127" s="31">
        <f>IF(OR($K127="",$I127=""),"",$K127*$I127)</f>
        <v/>
      </c>
      <c r="M127" s="31">
        <f>IF($L127="","",IF(OR($C127="Airbnb",$C127="Booking"),$L127*$F$3,0))</f>
        <v/>
      </c>
      <c r="N127" s="31">
        <f>IF($L127="","",$L127-$M127)</f>
        <v/>
      </c>
      <c r="O127" s="31">
        <f>IF($N127="","",$N127*IFERROR(INDEX(Biens!$I$5:$I$14,MATCH($B127,Biens!$A$5:$A$14,0)),0.2))</f>
        <v/>
      </c>
      <c r="P127" s="32">
        <f>IF($N127="","",$N127-$O127)</f>
        <v/>
      </c>
      <c r="Q127" s="25" t="n"/>
      <c r="R127" s="25" t="n"/>
      <c r="S127" s="27" t="n"/>
      <c r="T127" s="26" t="n"/>
    </row>
    <row r="128">
      <c r="A128" s="25" t="n"/>
      <c r="B128" s="25" t="n"/>
      <c r="C128" s="25" t="n"/>
      <c r="D128" s="26" t="n"/>
      <c r="E128" s="25" t="n"/>
      <c r="F128" s="26" t="n"/>
      <c r="G128" s="27" t="n"/>
      <c r="H128" s="27" t="n"/>
      <c r="I128" s="28">
        <f>IF(OR($G128="",$H128=""),"",$H128-$G128)</f>
        <v/>
      </c>
      <c r="J128" s="29" t="n"/>
      <c r="K128" s="30" t="n"/>
      <c r="L128" s="31">
        <f>IF(OR($K128="",$I128=""),"",$K128*$I128)</f>
        <v/>
      </c>
      <c r="M128" s="31">
        <f>IF($L128="","",IF(OR($C128="Airbnb",$C128="Booking"),$L128*$F$3,0))</f>
        <v/>
      </c>
      <c r="N128" s="31">
        <f>IF($L128="","",$L128-$M128)</f>
        <v/>
      </c>
      <c r="O128" s="31">
        <f>IF($N128="","",$N128*IFERROR(INDEX(Biens!$I$5:$I$14,MATCH($B128,Biens!$A$5:$A$14,0)),0.2))</f>
        <v/>
      </c>
      <c r="P128" s="32">
        <f>IF($N128="","",$N128-$O128)</f>
        <v/>
      </c>
      <c r="Q128" s="25" t="n"/>
      <c r="R128" s="25" t="n"/>
      <c r="S128" s="27" t="n"/>
      <c r="T128" s="26" t="n"/>
    </row>
    <row r="129">
      <c r="A129" s="25" t="n"/>
      <c r="B129" s="25" t="n"/>
      <c r="C129" s="25" t="n"/>
      <c r="D129" s="26" t="n"/>
      <c r="E129" s="25" t="n"/>
      <c r="F129" s="26" t="n"/>
      <c r="G129" s="27" t="n"/>
      <c r="H129" s="27" t="n"/>
      <c r="I129" s="28">
        <f>IF(OR($G129="",$H129=""),"",$H129-$G129)</f>
        <v/>
      </c>
      <c r="J129" s="29" t="n"/>
      <c r="K129" s="30" t="n"/>
      <c r="L129" s="31">
        <f>IF(OR($K129="",$I129=""),"",$K129*$I129)</f>
        <v/>
      </c>
      <c r="M129" s="31">
        <f>IF($L129="","",IF(OR($C129="Airbnb",$C129="Booking"),$L129*$F$3,0))</f>
        <v/>
      </c>
      <c r="N129" s="31">
        <f>IF($L129="","",$L129-$M129)</f>
        <v/>
      </c>
      <c r="O129" s="31">
        <f>IF($N129="","",$N129*IFERROR(INDEX(Biens!$I$5:$I$14,MATCH($B129,Biens!$A$5:$A$14,0)),0.2))</f>
        <v/>
      </c>
      <c r="P129" s="32">
        <f>IF($N129="","",$N129-$O129)</f>
        <v/>
      </c>
      <c r="Q129" s="25" t="n"/>
      <c r="R129" s="25" t="n"/>
      <c r="S129" s="27" t="n"/>
      <c r="T129" s="26" t="n"/>
    </row>
    <row r="130">
      <c r="A130" s="25" t="n"/>
      <c r="B130" s="25" t="n"/>
      <c r="C130" s="25" t="n"/>
      <c r="D130" s="26" t="n"/>
      <c r="E130" s="25" t="n"/>
      <c r="F130" s="26" t="n"/>
      <c r="G130" s="27" t="n"/>
      <c r="H130" s="27" t="n"/>
      <c r="I130" s="28">
        <f>IF(OR($G130="",$H130=""),"",$H130-$G130)</f>
        <v/>
      </c>
      <c r="J130" s="29" t="n"/>
      <c r="K130" s="30" t="n"/>
      <c r="L130" s="31">
        <f>IF(OR($K130="",$I130=""),"",$K130*$I130)</f>
        <v/>
      </c>
      <c r="M130" s="31">
        <f>IF($L130="","",IF(OR($C130="Airbnb",$C130="Booking"),$L130*$F$3,0))</f>
        <v/>
      </c>
      <c r="N130" s="31">
        <f>IF($L130="","",$L130-$M130)</f>
        <v/>
      </c>
      <c r="O130" s="31">
        <f>IF($N130="","",$N130*IFERROR(INDEX(Biens!$I$5:$I$14,MATCH($B130,Biens!$A$5:$A$14,0)),0.2))</f>
        <v/>
      </c>
      <c r="P130" s="32">
        <f>IF($N130="","",$N130-$O130)</f>
        <v/>
      </c>
      <c r="Q130" s="25" t="n"/>
      <c r="R130" s="25" t="n"/>
      <c r="S130" s="27" t="n"/>
      <c r="T130" s="26" t="n"/>
    </row>
    <row r="131">
      <c r="A131" s="25" t="n"/>
      <c r="B131" s="25" t="n"/>
      <c r="C131" s="25" t="n"/>
      <c r="D131" s="26" t="n"/>
      <c r="E131" s="25" t="n"/>
      <c r="F131" s="26" t="n"/>
      <c r="G131" s="27" t="n"/>
      <c r="H131" s="27" t="n"/>
      <c r="I131" s="28">
        <f>IF(OR($G131="",$H131=""),"",$H131-$G131)</f>
        <v/>
      </c>
      <c r="J131" s="29" t="n"/>
      <c r="K131" s="30" t="n"/>
      <c r="L131" s="31">
        <f>IF(OR($K131="",$I131=""),"",$K131*$I131)</f>
        <v/>
      </c>
      <c r="M131" s="31">
        <f>IF($L131="","",IF(OR($C131="Airbnb",$C131="Booking"),$L131*$F$3,0))</f>
        <v/>
      </c>
      <c r="N131" s="31">
        <f>IF($L131="","",$L131-$M131)</f>
        <v/>
      </c>
      <c r="O131" s="31">
        <f>IF($N131="","",$N131*IFERROR(INDEX(Biens!$I$5:$I$14,MATCH($B131,Biens!$A$5:$A$14,0)),0.2))</f>
        <v/>
      </c>
      <c r="P131" s="32">
        <f>IF($N131="","",$N131-$O131)</f>
        <v/>
      </c>
      <c r="Q131" s="25" t="n"/>
      <c r="R131" s="25" t="n"/>
      <c r="S131" s="27" t="n"/>
      <c r="T131" s="26" t="n"/>
    </row>
    <row r="132">
      <c r="A132" s="25" t="n"/>
      <c r="B132" s="25" t="n"/>
      <c r="C132" s="25" t="n"/>
      <c r="D132" s="26" t="n"/>
      <c r="E132" s="25" t="n"/>
      <c r="F132" s="26" t="n"/>
      <c r="G132" s="27" t="n"/>
      <c r="H132" s="27" t="n"/>
      <c r="I132" s="28">
        <f>IF(OR($G132="",$H132=""),"",$H132-$G132)</f>
        <v/>
      </c>
      <c r="J132" s="29" t="n"/>
      <c r="K132" s="30" t="n"/>
      <c r="L132" s="31">
        <f>IF(OR($K132="",$I132=""),"",$K132*$I132)</f>
        <v/>
      </c>
      <c r="M132" s="31">
        <f>IF($L132="","",IF(OR($C132="Airbnb",$C132="Booking"),$L132*$F$3,0))</f>
        <v/>
      </c>
      <c r="N132" s="31">
        <f>IF($L132="","",$L132-$M132)</f>
        <v/>
      </c>
      <c r="O132" s="31">
        <f>IF($N132="","",$N132*IFERROR(INDEX(Biens!$I$5:$I$14,MATCH($B132,Biens!$A$5:$A$14,0)),0.2))</f>
        <v/>
      </c>
      <c r="P132" s="32">
        <f>IF($N132="","",$N132-$O132)</f>
        <v/>
      </c>
      <c r="Q132" s="25" t="n"/>
      <c r="R132" s="25" t="n"/>
      <c r="S132" s="27" t="n"/>
      <c r="T132" s="26" t="n"/>
    </row>
    <row r="133">
      <c r="A133" s="25" t="n"/>
      <c r="B133" s="25" t="n"/>
      <c r="C133" s="25" t="n"/>
      <c r="D133" s="26" t="n"/>
      <c r="E133" s="25" t="n"/>
      <c r="F133" s="26" t="n"/>
      <c r="G133" s="27" t="n"/>
      <c r="H133" s="27" t="n"/>
      <c r="I133" s="28">
        <f>IF(OR($G133="",$H133=""),"",$H133-$G133)</f>
        <v/>
      </c>
      <c r="J133" s="29" t="n"/>
      <c r="K133" s="30" t="n"/>
      <c r="L133" s="31">
        <f>IF(OR($K133="",$I133=""),"",$K133*$I133)</f>
        <v/>
      </c>
      <c r="M133" s="31">
        <f>IF($L133="","",IF(OR($C133="Airbnb",$C133="Booking"),$L133*$F$3,0))</f>
        <v/>
      </c>
      <c r="N133" s="31">
        <f>IF($L133="","",$L133-$M133)</f>
        <v/>
      </c>
      <c r="O133" s="31">
        <f>IF($N133="","",$N133*IFERROR(INDEX(Biens!$I$5:$I$14,MATCH($B133,Biens!$A$5:$A$14,0)),0.2))</f>
        <v/>
      </c>
      <c r="P133" s="32">
        <f>IF($N133="","",$N133-$O133)</f>
        <v/>
      </c>
      <c r="Q133" s="25" t="n"/>
      <c r="R133" s="25" t="n"/>
      <c r="S133" s="27" t="n"/>
      <c r="T133" s="26" t="n"/>
    </row>
    <row r="134">
      <c r="A134" s="25" t="n"/>
      <c r="B134" s="25" t="n"/>
      <c r="C134" s="25" t="n"/>
      <c r="D134" s="26" t="n"/>
      <c r="E134" s="25" t="n"/>
      <c r="F134" s="26" t="n"/>
      <c r="G134" s="27" t="n"/>
      <c r="H134" s="27" t="n"/>
      <c r="I134" s="28">
        <f>IF(OR($G134="",$H134=""),"",$H134-$G134)</f>
        <v/>
      </c>
      <c r="J134" s="29" t="n"/>
      <c r="K134" s="30" t="n"/>
      <c r="L134" s="31">
        <f>IF(OR($K134="",$I134=""),"",$K134*$I134)</f>
        <v/>
      </c>
      <c r="M134" s="31">
        <f>IF($L134="","",IF(OR($C134="Airbnb",$C134="Booking"),$L134*$F$3,0))</f>
        <v/>
      </c>
      <c r="N134" s="31">
        <f>IF($L134="","",$L134-$M134)</f>
        <v/>
      </c>
      <c r="O134" s="31">
        <f>IF($N134="","",$N134*IFERROR(INDEX(Biens!$I$5:$I$14,MATCH($B134,Biens!$A$5:$A$14,0)),0.2))</f>
        <v/>
      </c>
      <c r="P134" s="32">
        <f>IF($N134="","",$N134-$O134)</f>
        <v/>
      </c>
      <c r="Q134" s="25" t="n"/>
      <c r="R134" s="25" t="n"/>
      <c r="S134" s="27" t="n"/>
      <c r="T134" s="26" t="n"/>
    </row>
    <row r="135">
      <c r="A135" s="25" t="n"/>
      <c r="B135" s="25" t="n"/>
      <c r="C135" s="25" t="n"/>
      <c r="D135" s="26" t="n"/>
      <c r="E135" s="25" t="n"/>
      <c r="F135" s="26" t="n"/>
      <c r="G135" s="27" t="n"/>
      <c r="H135" s="27" t="n"/>
      <c r="I135" s="28">
        <f>IF(OR($G135="",$H135=""),"",$H135-$G135)</f>
        <v/>
      </c>
      <c r="J135" s="29" t="n"/>
      <c r="K135" s="30" t="n"/>
      <c r="L135" s="31">
        <f>IF(OR($K135="",$I135=""),"",$K135*$I135)</f>
        <v/>
      </c>
      <c r="M135" s="31">
        <f>IF($L135="","",IF(OR($C135="Airbnb",$C135="Booking"),$L135*$F$3,0))</f>
        <v/>
      </c>
      <c r="N135" s="31">
        <f>IF($L135="","",$L135-$M135)</f>
        <v/>
      </c>
      <c r="O135" s="31">
        <f>IF($N135="","",$N135*IFERROR(INDEX(Biens!$I$5:$I$14,MATCH($B135,Biens!$A$5:$A$14,0)),0.2))</f>
        <v/>
      </c>
      <c r="P135" s="32">
        <f>IF($N135="","",$N135-$O135)</f>
        <v/>
      </c>
      <c r="Q135" s="25" t="n"/>
      <c r="R135" s="25" t="n"/>
      <c r="S135" s="27" t="n"/>
      <c r="T135" s="26" t="n"/>
    </row>
    <row r="136">
      <c r="A136" s="25" t="n"/>
      <c r="B136" s="25" t="n"/>
      <c r="C136" s="25" t="n"/>
      <c r="D136" s="26" t="n"/>
      <c r="E136" s="25" t="n"/>
      <c r="F136" s="26" t="n"/>
      <c r="G136" s="27" t="n"/>
      <c r="H136" s="27" t="n"/>
      <c r="I136" s="28">
        <f>IF(OR($G136="",$H136=""),"",$H136-$G136)</f>
        <v/>
      </c>
      <c r="J136" s="29" t="n"/>
      <c r="K136" s="30" t="n"/>
      <c r="L136" s="31">
        <f>IF(OR($K136="",$I136=""),"",$K136*$I136)</f>
        <v/>
      </c>
      <c r="M136" s="31">
        <f>IF($L136="","",IF(OR($C136="Airbnb",$C136="Booking"),$L136*$F$3,0))</f>
        <v/>
      </c>
      <c r="N136" s="31">
        <f>IF($L136="","",$L136-$M136)</f>
        <v/>
      </c>
      <c r="O136" s="31">
        <f>IF($N136="","",$N136*IFERROR(INDEX(Biens!$I$5:$I$14,MATCH($B136,Biens!$A$5:$A$14,0)),0.2))</f>
        <v/>
      </c>
      <c r="P136" s="32">
        <f>IF($N136="","",$N136-$O136)</f>
        <v/>
      </c>
      <c r="Q136" s="25" t="n"/>
      <c r="R136" s="25" t="n"/>
      <c r="S136" s="27" t="n"/>
      <c r="T136" s="26" t="n"/>
    </row>
    <row r="137">
      <c r="A137" s="25" t="n"/>
      <c r="B137" s="25" t="n"/>
      <c r="C137" s="25" t="n"/>
      <c r="D137" s="26" t="n"/>
      <c r="E137" s="25" t="n"/>
      <c r="F137" s="26" t="n"/>
      <c r="G137" s="27" t="n"/>
      <c r="H137" s="27" t="n"/>
      <c r="I137" s="28">
        <f>IF(OR($G137="",$H137=""),"",$H137-$G137)</f>
        <v/>
      </c>
      <c r="J137" s="29" t="n"/>
      <c r="K137" s="30" t="n"/>
      <c r="L137" s="31">
        <f>IF(OR($K137="",$I137=""),"",$K137*$I137)</f>
        <v/>
      </c>
      <c r="M137" s="31">
        <f>IF($L137="","",IF(OR($C137="Airbnb",$C137="Booking"),$L137*$F$3,0))</f>
        <v/>
      </c>
      <c r="N137" s="31">
        <f>IF($L137="","",$L137-$M137)</f>
        <v/>
      </c>
      <c r="O137" s="31">
        <f>IF($N137="","",$N137*IFERROR(INDEX(Biens!$I$5:$I$14,MATCH($B137,Biens!$A$5:$A$14,0)),0.2))</f>
        <v/>
      </c>
      <c r="P137" s="32">
        <f>IF($N137="","",$N137-$O137)</f>
        <v/>
      </c>
      <c r="Q137" s="25" t="n"/>
      <c r="R137" s="25" t="n"/>
      <c r="S137" s="27" t="n"/>
      <c r="T137" s="26" t="n"/>
    </row>
    <row r="138">
      <c r="A138" s="25" t="n"/>
      <c r="B138" s="25" t="n"/>
      <c r="C138" s="25" t="n"/>
      <c r="D138" s="26" t="n"/>
      <c r="E138" s="25" t="n"/>
      <c r="F138" s="26" t="n"/>
      <c r="G138" s="27" t="n"/>
      <c r="H138" s="27" t="n"/>
      <c r="I138" s="28">
        <f>IF(OR($G138="",$H138=""),"",$H138-$G138)</f>
        <v/>
      </c>
      <c r="J138" s="29" t="n"/>
      <c r="K138" s="30" t="n"/>
      <c r="L138" s="31">
        <f>IF(OR($K138="",$I138=""),"",$K138*$I138)</f>
        <v/>
      </c>
      <c r="M138" s="31">
        <f>IF($L138="","",IF(OR($C138="Airbnb",$C138="Booking"),$L138*$F$3,0))</f>
        <v/>
      </c>
      <c r="N138" s="31">
        <f>IF($L138="","",$L138-$M138)</f>
        <v/>
      </c>
      <c r="O138" s="31">
        <f>IF($N138="","",$N138*IFERROR(INDEX(Biens!$I$5:$I$14,MATCH($B138,Biens!$A$5:$A$14,0)),0.2))</f>
        <v/>
      </c>
      <c r="P138" s="32">
        <f>IF($N138="","",$N138-$O138)</f>
        <v/>
      </c>
      <c r="Q138" s="25" t="n"/>
      <c r="R138" s="25" t="n"/>
      <c r="S138" s="27" t="n"/>
      <c r="T138" s="26" t="n"/>
    </row>
    <row r="139">
      <c r="A139" s="25" t="n"/>
      <c r="B139" s="25" t="n"/>
      <c r="C139" s="25" t="n"/>
      <c r="D139" s="26" t="n"/>
      <c r="E139" s="25" t="n"/>
      <c r="F139" s="26" t="n"/>
      <c r="G139" s="27" t="n"/>
      <c r="H139" s="27" t="n"/>
      <c r="I139" s="28">
        <f>IF(OR($G139="",$H139=""),"",$H139-$G139)</f>
        <v/>
      </c>
      <c r="J139" s="29" t="n"/>
      <c r="K139" s="30" t="n"/>
      <c r="L139" s="31">
        <f>IF(OR($K139="",$I139=""),"",$K139*$I139)</f>
        <v/>
      </c>
      <c r="M139" s="31">
        <f>IF($L139="","",IF(OR($C139="Airbnb",$C139="Booking"),$L139*$F$3,0))</f>
        <v/>
      </c>
      <c r="N139" s="31">
        <f>IF($L139="","",$L139-$M139)</f>
        <v/>
      </c>
      <c r="O139" s="31">
        <f>IF($N139="","",$N139*IFERROR(INDEX(Biens!$I$5:$I$14,MATCH($B139,Biens!$A$5:$A$14,0)),0.2))</f>
        <v/>
      </c>
      <c r="P139" s="32">
        <f>IF($N139="","",$N139-$O139)</f>
        <v/>
      </c>
      <c r="Q139" s="25" t="n"/>
      <c r="R139" s="25" t="n"/>
      <c r="S139" s="27" t="n"/>
      <c r="T139" s="26" t="n"/>
    </row>
    <row r="140">
      <c r="A140" s="25" t="n"/>
      <c r="B140" s="25" t="n"/>
      <c r="C140" s="25" t="n"/>
      <c r="D140" s="26" t="n"/>
      <c r="E140" s="25" t="n"/>
      <c r="F140" s="26" t="n"/>
      <c r="G140" s="27" t="n"/>
      <c r="H140" s="27" t="n"/>
      <c r="I140" s="28">
        <f>IF(OR($G140="",$H140=""),"",$H140-$G140)</f>
        <v/>
      </c>
      <c r="J140" s="29" t="n"/>
      <c r="K140" s="30" t="n"/>
      <c r="L140" s="31">
        <f>IF(OR($K140="",$I140=""),"",$K140*$I140)</f>
        <v/>
      </c>
      <c r="M140" s="31">
        <f>IF($L140="","",IF(OR($C140="Airbnb",$C140="Booking"),$L140*$F$3,0))</f>
        <v/>
      </c>
      <c r="N140" s="31">
        <f>IF($L140="","",$L140-$M140)</f>
        <v/>
      </c>
      <c r="O140" s="31">
        <f>IF($N140="","",$N140*IFERROR(INDEX(Biens!$I$5:$I$14,MATCH($B140,Biens!$A$5:$A$14,0)),0.2))</f>
        <v/>
      </c>
      <c r="P140" s="32">
        <f>IF($N140="","",$N140-$O140)</f>
        <v/>
      </c>
      <c r="Q140" s="25" t="n"/>
      <c r="R140" s="25" t="n"/>
      <c r="S140" s="27" t="n"/>
      <c r="T140" s="26" t="n"/>
    </row>
    <row r="141">
      <c r="A141" s="25" t="n"/>
      <c r="B141" s="25" t="n"/>
      <c r="C141" s="25" t="n"/>
      <c r="D141" s="26" t="n"/>
      <c r="E141" s="25" t="n"/>
      <c r="F141" s="26" t="n"/>
      <c r="G141" s="27" t="n"/>
      <c r="H141" s="27" t="n"/>
      <c r="I141" s="28">
        <f>IF(OR($G141="",$H141=""),"",$H141-$G141)</f>
        <v/>
      </c>
      <c r="J141" s="29" t="n"/>
      <c r="K141" s="30" t="n"/>
      <c r="L141" s="31">
        <f>IF(OR($K141="",$I141=""),"",$K141*$I141)</f>
        <v/>
      </c>
      <c r="M141" s="31">
        <f>IF($L141="","",IF(OR($C141="Airbnb",$C141="Booking"),$L141*$F$3,0))</f>
        <v/>
      </c>
      <c r="N141" s="31">
        <f>IF($L141="","",$L141-$M141)</f>
        <v/>
      </c>
      <c r="O141" s="31">
        <f>IF($N141="","",$N141*IFERROR(INDEX(Biens!$I$5:$I$14,MATCH($B141,Biens!$A$5:$A$14,0)),0.2))</f>
        <v/>
      </c>
      <c r="P141" s="32">
        <f>IF($N141="","",$N141-$O141)</f>
        <v/>
      </c>
      <c r="Q141" s="25" t="n"/>
      <c r="R141" s="25" t="n"/>
      <c r="S141" s="27" t="n"/>
      <c r="T141" s="26" t="n"/>
    </row>
    <row r="142">
      <c r="A142" s="25" t="n"/>
      <c r="B142" s="25" t="n"/>
      <c r="C142" s="25" t="n"/>
      <c r="D142" s="26" t="n"/>
      <c r="E142" s="25" t="n"/>
      <c r="F142" s="26" t="n"/>
      <c r="G142" s="27" t="n"/>
      <c r="H142" s="27" t="n"/>
      <c r="I142" s="28">
        <f>IF(OR($G142="",$H142=""),"",$H142-$G142)</f>
        <v/>
      </c>
      <c r="J142" s="29" t="n"/>
      <c r="K142" s="30" t="n"/>
      <c r="L142" s="31">
        <f>IF(OR($K142="",$I142=""),"",$K142*$I142)</f>
        <v/>
      </c>
      <c r="M142" s="31">
        <f>IF($L142="","",IF(OR($C142="Airbnb",$C142="Booking"),$L142*$F$3,0))</f>
        <v/>
      </c>
      <c r="N142" s="31">
        <f>IF($L142="","",$L142-$M142)</f>
        <v/>
      </c>
      <c r="O142" s="31">
        <f>IF($N142="","",$N142*IFERROR(INDEX(Biens!$I$5:$I$14,MATCH($B142,Biens!$A$5:$A$14,0)),0.2))</f>
        <v/>
      </c>
      <c r="P142" s="32">
        <f>IF($N142="","",$N142-$O142)</f>
        <v/>
      </c>
      <c r="Q142" s="25" t="n"/>
      <c r="R142" s="25" t="n"/>
      <c r="S142" s="27" t="n"/>
      <c r="T142" s="26" t="n"/>
    </row>
    <row r="143">
      <c r="A143" s="25" t="n"/>
      <c r="B143" s="25" t="n"/>
      <c r="C143" s="25" t="n"/>
      <c r="D143" s="26" t="n"/>
      <c r="E143" s="25" t="n"/>
      <c r="F143" s="26" t="n"/>
      <c r="G143" s="27" t="n"/>
      <c r="H143" s="27" t="n"/>
      <c r="I143" s="28">
        <f>IF(OR($G143="",$H143=""),"",$H143-$G143)</f>
        <v/>
      </c>
      <c r="J143" s="29" t="n"/>
      <c r="K143" s="30" t="n"/>
      <c r="L143" s="31">
        <f>IF(OR($K143="",$I143=""),"",$K143*$I143)</f>
        <v/>
      </c>
      <c r="M143" s="31">
        <f>IF($L143="","",IF(OR($C143="Airbnb",$C143="Booking"),$L143*$F$3,0))</f>
        <v/>
      </c>
      <c r="N143" s="31">
        <f>IF($L143="","",$L143-$M143)</f>
        <v/>
      </c>
      <c r="O143" s="31">
        <f>IF($N143="","",$N143*IFERROR(INDEX(Biens!$I$5:$I$14,MATCH($B143,Biens!$A$5:$A$14,0)),0.2))</f>
        <v/>
      </c>
      <c r="P143" s="32">
        <f>IF($N143="","",$N143-$O143)</f>
        <v/>
      </c>
      <c r="Q143" s="25" t="n"/>
      <c r="R143" s="25" t="n"/>
      <c r="S143" s="27" t="n"/>
      <c r="T143" s="26" t="n"/>
    </row>
    <row r="144">
      <c r="A144" s="25" t="n"/>
      <c r="B144" s="25" t="n"/>
      <c r="C144" s="25" t="n"/>
      <c r="D144" s="26" t="n"/>
      <c r="E144" s="25" t="n"/>
      <c r="F144" s="26" t="n"/>
      <c r="G144" s="27" t="n"/>
      <c r="H144" s="27" t="n"/>
      <c r="I144" s="28">
        <f>IF(OR($G144="",$H144=""),"",$H144-$G144)</f>
        <v/>
      </c>
      <c r="J144" s="29" t="n"/>
      <c r="K144" s="30" t="n"/>
      <c r="L144" s="31">
        <f>IF(OR($K144="",$I144=""),"",$K144*$I144)</f>
        <v/>
      </c>
      <c r="M144" s="31">
        <f>IF($L144="","",IF(OR($C144="Airbnb",$C144="Booking"),$L144*$F$3,0))</f>
        <v/>
      </c>
      <c r="N144" s="31">
        <f>IF($L144="","",$L144-$M144)</f>
        <v/>
      </c>
      <c r="O144" s="31">
        <f>IF($N144="","",$N144*IFERROR(INDEX(Biens!$I$5:$I$14,MATCH($B144,Biens!$A$5:$A$14,0)),0.2))</f>
        <v/>
      </c>
      <c r="P144" s="32">
        <f>IF($N144="","",$N144-$O144)</f>
        <v/>
      </c>
      <c r="Q144" s="25" t="n"/>
      <c r="R144" s="25" t="n"/>
      <c r="S144" s="27" t="n"/>
      <c r="T144" s="26" t="n"/>
    </row>
    <row r="145">
      <c r="A145" s="25" t="n"/>
      <c r="B145" s="25" t="n"/>
      <c r="C145" s="25" t="n"/>
      <c r="D145" s="26" t="n"/>
      <c r="E145" s="25" t="n"/>
      <c r="F145" s="26" t="n"/>
      <c r="G145" s="27" t="n"/>
      <c r="H145" s="27" t="n"/>
      <c r="I145" s="28">
        <f>IF(OR($G145="",$H145=""),"",$H145-$G145)</f>
        <v/>
      </c>
      <c r="J145" s="29" t="n"/>
      <c r="K145" s="30" t="n"/>
      <c r="L145" s="31">
        <f>IF(OR($K145="",$I145=""),"",$K145*$I145)</f>
        <v/>
      </c>
      <c r="M145" s="31">
        <f>IF($L145="","",IF(OR($C145="Airbnb",$C145="Booking"),$L145*$F$3,0))</f>
        <v/>
      </c>
      <c r="N145" s="31">
        <f>IF($L145="","",$L145-$M145)</f>
        <v/>
      </c>
      <c r="O145" s="31">
        <f>IF($N145="","",$N145*IFERROR(INDEX(Biens!$I$5:$I$14,MATCH($B145,Biens!$A$5:$A$14,0)),0.2))</f>
        <v/>
      </c>
      <c r="P145" s="32">
        <f>IF($N145="","",$N145-$O145)</f>
        <v/>
      </c>
      <c r="Q145" s="25" t="n"/>
      <c r="R145" s="25" t="n"/>
      <c r="S145" s="27" t="n"/>
      <c r="T145" s="26" t="n"/>
    </row>
    <row r="146">
      <c r="A146" s="25" t="n"/>
      <c r="B146" s="25" t="n"/>
      <c r="C146" s="25" t="n"/>
      <c r="D146" s="26" t="n"/>
      <c r="E146" s="25" t="n"/>
      <c r="F146" s="26" t="n"/>
      <c r="G146" s="27" t="n"/>
      <c r="H146" s="27" t="n"/>
      <c r="I146" s="28">
        <f>IF(OR($G146="",$H146=""),"",$H146-$G146)</f>
        <v/>
      </c>
      <c r="J146" s="29" t="n"/>
      <c r="K146" s="30" t="n"/>
      <c r="L146" s="31">
        <f>IF(OR($K146="",$I146=""),"",$K146*$I146)</f>
        <v/>
      </c>
      <c r="M146" s="31">
        <f>IF($L146="","",IF(OR($C146="Airbnb",$C146="Booking"),$L146*$F$3,0))</f>
        <v/>
      </c>
      <c r="N146" s="31">
        <f>IF($L146="","",$L146-$M146)</f>
        <v/>
      </c>
      <c r="O146" s="31">
        <f>IF($N146="","",$N146*IFERROR(INDEX(Biens!$I$5:$I$14,MATCH($B146,Biens!$A$5:$A$14,0)),0.2))</f>
        <v/>
      </c>
      <c r="P146" s="32">
        <f>IF($N146="","",$N146-$O146)</f>
        <v/>
      </c>
      <c r="Q146" s="25" t="n"/>
      <c r="R146" s="25" t="n"/>
      <c r="S146" s="27" t="n"/>
      <c r="T146" s="26" t="n"/>
    </row>
    <row r="147">
      <c r="A147" s="25" t="n"/>
      <c r="B147" s="25" t="n"/>
      <c r="C147" s="25" t="n"/>
      <c r="D147" s="26" t="n"/>
      <c r="E147" s="25" t="n"/>
      <c r="F147" s="26" t="n"/>
      <c r="G147" s="27" t="n"/>
      <c r="H147" s="27" t="n"/>
      <c r="I147" s="28">
        <f>IF(OR($G147="",$H147=""),"",$H147-$G147)</f>
        <v/>
      </c>
      <c r="J147" s="29" t="n"/>
      <c r="K147" s="30" t="n"/>
      <c r="L147" s="31">
        <f>IF(OR($K147="",$I147=""),"",$K147*$I147)</f>
        <v/>
      </c>
      <c r="M147" s="31">
        <f>IF($L147="","",IF(OR($C147="Airbnb",$C147="Booking"),$L147*$F$3,0))</f>
        <v/>
      </c>
      <c r="N147" s="31">
        <f>IF($L147="","",$L147-$M147)</f>
        <v/>
      </c>
      <c r="O147" s="31">
        <f>IF($N147="","",$N147*IFERROR(INDEX(Biens!$I$5:$I$14,MATCH($B147,Biens!$A$5:$A$14,0)),0.2))</f>
        <v/>
      </c>
      <c r="P147" s="32">
        <f>IF($N147="","",$N147-$O147)</f>
        <v/>
      </c>
      <c r="Q147" s="25" t="n"/>
      <c r="R147" s="25" t="n"/>
      <c r="S147" s="27" t="n"/>
      <c r="T147" s="26" t="n"/>
    </row>
    <row r="148">
      <c r="A148" s="25" t="n"/>
      <c r="B148" s="25" t="n"/>
      <c r="C148" s="25" t="n"/>
      <c r="D148" s="26" t="n"/>
      <c r="E148" s="25" t="n"/>
      <c r="F148" s="26" t="n"/>
      <c r="G148" s="27" t="n"/>
      <c r="H148" s="27" t="n"/>
      <c r="I148" s="28">
        <f>IF(OR($G148="",$H148=""),"",$H148-$G148)</f>
        <v/>
      </c>
      <c r="J148" s="29" t="n"/>
      <c r="K148" s="30" t="n"/>
      <c r="L148" s="31">
        <f>IF(OR($K148="",$I148=""),"",$K148*$I148)</f>
        <v/>
      </c>
      <c r="M148" s="31">
        <f>IF($L148="","",IF(OR($C148="Airbnb",$C148="Booking"),$L148*$F$3,0))</f>
        <v/>
      </c>
      <c r="N148" s="31">
        <f>IF($L148="","",$L148-$M148)</f>
        <v/>
      </c>
      <c r="O148" s="31">
        <f>IF($N148="","",$N148*IFERROR(INDEX(Biens!$I$5:$I$14,MATCH($B148,Biens!$A$5:$A$14,0)),0.2))</f>
        <v/>
      </c>
      <c r="P148" s="32">
        <f>IF($N148="","",$N148-$O148)</f>
        <v/>
      </c>
      <c r="Q148" s="25" t="n"/>
      <c r="R148" s="25" t="n"/>
      <c r="S148" s="27" t="n"/>
      <c r="T148" s="26" t="n"/>
    </row>
    <row r="149">
      <c r="A149" s="25" t="n"/>
      <c r="B149" s="25" t="n"/>
      <c r="C149" s="25" t="n"/>
      <c r="D149" s="26" t="n"/>
      <c r="E149" s="25" t="n"/>
      <c r="F149" s="26" t="n"/>
      <c r="G149" s="27" t="n"/>
      <c r="H149" s="27" t="n"/>
      <c r="I149" s="28">
        <f>IF(OR($G149="",$H149=""),"",$H149-$G149)</f>
        <v/>
      </c>
      <c r="J149" s="29" t="n"/>
      <c r="K149" s="30" t="n"/>
      <c r="L149" s="31">
        <f>IF(OR($K149="",$I149=""),"",$K149*$I149)</f>
        <v/>
      </c>
      <c r="M149" s="31">
        <f>IF($L149="","",IF(OR($C149="Airbnb",$C149="Booking"),$L149*$F$3,0))</f>
        <v/>
      </c>
      <c r="N149" s="31">
        <f>IF($L149="","",$L149-$M149)</f>
        <v/>
      </c>
      <c r="O149" s="31">
        <f>IF($N149="","",$N149*IFERROR(INDEX(Biens!$I$5:$I$14,MATCH($B149,Biens!$A$5:$A$14,0)),0.2))</f>
        <v/>
      </c>
      <c r="P149" s="32">
        <f>IF($N149="","",$N149-$O149)</f>
        <v/>
      </c>
      <c r="Q149" s="25" t="n"/>
      <c r="R149" s="25" t="n"/>
      <c r="S149" s="27" t="n"/>
      <c r="T149" s="26" t="n"/>
    </row>
    <row r="150">
      <c r="A150" s="25" t="n"/>
      <c r="B150" s="25" t="n"/>
      <c r="C150" s="25" t="n"/>
      <c r="D150" s="26" t="n"/>
      <c r="E150" s="25" t="n"/>
      <c r="F150" s="26" t="n"/>
      <c r="G150" s="27" t="n"/>
      <c r="H150" s="27" t="n"/>
      <c r="I150" s="28">
        <f>IF(OR($G150="",$H150=""),"",$H150-$G150)</f>
        <v/>
      </c>
      <c r="J150" s="29" t="n"/>
      <c r="K150" s="30" t="n"/>
      <c r="L150" s="31">
        <f>IF(OR($K150="",$I150=""),"",$K150*$I150)</f>
        <v/>
      </c>
      <c r="M150" s="31">
        <f>IF($L150="","",IF(OR($C150="Airbnb",$C150="Booking"),$L150*$F$3,0))</f>
        <v/>
      </c>
      <c r="N150" s="31">
        <f>IF($L150="","",$L150-$M150)</f>
        <v/>
      </c>
      <c r="O150" s="31">
        <f>IF($N150="","",$N150*IFERROR(INDEX(Biens!$I$5:$I$14,MATCH($B150,Biens!$A$5:$A$14,0)),0.2))</f>
        <v/>
      </c>
      <c r="P150" s="32">
        <f>IF($N150="","",$N150-$O150)</f>
        <v/>
      </c>
      <c r="Q150" s="25" t="n"/>
      <c r="R150" s="25" t="n"/>
      <c r="S150" s="27" t="n"/>
      <c r="T150" s="26" t="n"/>
    </row>
    <row r="151">
      <c r="A151" s="25" t="n"/>
      <c r="B151" s="25" t="n"/>
      <c r="C151" s="25" t="n"/>
      <c r="D151" s="26" t="n"/>
      <c r="E151" s="25" t="n"/>
      <c r="F151" s="26" t="n"/>
      <c r="G151" s="27" t="n"/>
      <c r="H151" s="27" t="n"/>
      <c r="I151" s="28">
        <f>IF(OR($G151="",$H151=""),"",$H151-$G151)</f>
        <v/>
      </c>
      <c r="J151" s="29" t="n"/>
      <c r="K151" s="30" t="n"/>
      <c r="L151" s="31">
        <f>IF(OR($K151="",$I151=""),"",$K151*$I151)</f>
        <v/>
      </c>
      <c r="M151" s="31">
        <f>IF($L151="","",IF(OR($C151="Airbnb",$C151="Booking"),$L151*$F$3,0))</f>
        <v/>
      </c>
      <c r="N151" s="31">
        <f>IF($L151="","",$L151-$M151)</f>
        <v/>
      </c>
      <c r="O151" s="31">
        <f>IF($N151="","",$N151*IFERROR(INDEX(Biens!$I$5:$I$14,MATCH($B151,Biens!$A$5:$A$14,0)),0.2))</f>
        <v/>
      </c>
      <c r="P151" s="32">
        <f>IF($N151="","",$N151-$O151)</f>
        <v/>
      </c>
      <c r="Q151" s="25" t="n"/>
      <c r="R151" s="25" t="n"/>
      <c r="S151" s="27" t="n"/>
      <c r="T151" s="26" t="n"/>
    </row>
    <row r="152">
      <c r="A152" s="25" t="n"/>
      <c r="B152" s="25" t="n"/>
      <c r="C152" s="25" t="n"/>
      <c r="D152" s="26" t="n"/>
      <c r="E152" s="25" t="n"/>
      <c r="F152" s="26" t="n"/>
      <c r="G152" s="27" t="n"/>
      <c r="H152" s="27" t="n"/>
      <c r="I152" s="28">
        <f>IF(OR($G152="",$H152=""),"",$H152-$G152)</f>
        <v/>
      </c>
      <c r="J152" s="29" t="n"/>
      <c r="K152" s="30" t="n"/>
      <c r="L152" s="31">
        <f>IF(OR($K152="",$I152=""),"",$K152*$I152)</f>
        <v/>
      </c>
      <c r="M152" s="31">
        <f>IF($L152="","",IF(OR($C152="Airbnb",$C152="Booking"),$L152*$F$3,0))</f>
        <v/>
      </c>
      <c r="N152" s="31">
        <f>IF($L152="","",$L152-$M152)</f>
        <v/>
      </c>
      <c r="O152" s="31">
        <f>IF($N152="","",$N152*IFERROR(INDEX(Biens!$I$5:$I$14,MATCH($B152,Biens!$A$5:$A$14,0)),0.2))</f>
        <v/>
      </c>
      <c r="P152" s="32">
        <f>IF($N152="","",$N152-$O152)</f>
        <v/>
      </c>
      <c r="Q152" s="25" t="n"/>
      <c r="R152" s="25" t="n"/>
      <c r="S152" s="27" t="n"/>
      <c r="T152" s="26" t="n"/>
    </row>
    <row r="153">
      <c r="A153" s="25" t="n"/>
      <c r="B153" s="25" t="n"/>
      <c r="C153" s="25" t="n"/>
      <c r="D153" s="26" t="n"/>
      <c r="E153" s="25" t="n"/>
      <c r="F153" s="26" t="n"/>
      <c r="G153" s="27" t="n"/>
      <c r="H153" s="27" t="n"/>
      <c r="I153" s="28">
        <f>IF(OR($G153="",$H153=""),"",$H153-$G153)</f>
        <v/>
      </c>
      <c r="J153" s="29" t="n"/>
      <c r="K153" s="30" t="n"/>
      <c r="L153" s="31">
        <f>IF(OR($K153="",$I153=""),"",$K153*$I153)</f>
        <v/>
      </c>
      <c r="M153" s="31">
        <f>IF($L153="","",IF(OR($C153="Airbnb",$C153="Booking"),$L153*$F$3,0))</f>
        <v/>
      </c>
      <c r="N153" s="31">
        <f>IF($L153="","",$L153-$M153)</f>
        <v/>
      </c>
      <c r="O153" s="31">
        <f>IF($N153="","",$N153*IFERROR(INDEX(Biens!$I$5:$I$14,MATCH($B153,Biens!$A$5:$A$14,0)),0.2))</f>
        <v/>
      </c>
      <c r="P153" s="32">
        <f>IF($N153="","",$N153-$O153)</f>
        <v/>
      </c>
      <c r="Q153" s="25" t="n"/>
      <c r="R153" s="25" t="n"/>
      <c r="S153" s="27" t="n"/>
      <c r="T153" s="26" t="n"/>
    </row>
    <row r="154">
      <c r="A154" s="25" t="n"/>
      <c r="B154" s="25" t="n"/>
      <c r="C154" s="25" t="n"/>
      <c r="D154" s="26" t="n"/>
      <c r="E154" s="25" t="n"/>
      <c r="F154" s="26" t="n"/>
      <c r="G154" s="27" t="n"/>
      <c r="H154" s="27" t="n"/>
      <c r="I154" s="28">
        <f>IF(OR($G154="",$H154=""),"",$H154-$G154)</f>
        <v/>
      </c>
      <c r="J154" s="29" t="n"/>
      <c r="K154" s="30" t="n"/>
      <c r="L154" s="31">
        <f>IF(OR($K154="",$I154=""),"",$K154*$I154)</f>
        <v/>
      </c>
      <c r="M154" s="31">
        <f>IF($L154="","",IF(OR($C154="Airbnb",$C154="Booking"),$L154*$F$3,0))</f>
        <v/>
      </c>
      <c r="N154" s="31">
        <f>IF($L154="","",$L154-$M154)</f>
        <v/>
      </c>
      <c r="O154" s="31">
        <f>IF($N154="","",$N154*IFERROR(INDEX(Biens!$I$5:$I$14,MATCH($B154,Biens!$A$5:$A$14,0)),0.2))</f>
        <v/>
      </c>
      <c r="P154" s="32">
        <f>IF($N154="","",$N154-$O154)</f>
        <v/>
      </c>
      <c r="Q154" s="25" t="n"/>
      <c r="R154" s="25" t="n"/>
      <c r="S154" s="27" t="n"/>
      <c r="T154" s="26" t="n"/>
    </row>
    <row r="155">
      <c r="A155" s="25" t="n"/>
      <c r="B155" s="25" t="n"/>
      <c r="C155" s="25" t="n"/>
      <c r="D155" s="26" t="n"/>
      <c r="E155" s="25" t="n"/>
      <c r="F155" s="26" t="n"/>
      <c r="G155" s="27" t="n"/>
      <c r="H155" s="27" t="n"/>
      <c r="I155" s="28">
        <f>IF(OR($G155="",$H155=""),"",$H155-$G155)</f>
        <v/>
      </c>
      <c r="J155" s="29" t="n"/>
      <c r="K155" s="30" t="n"/>
      <c r="L155" s="31">
        <f>IF(OR($K155="",$I155=""),"",$K155*$I155)</f>
        <v/>
      </c>
      <c r="M155" s="31">
        <f>IF($L155="","",IF(OR($C155="Airbnb",$C155="Booking"),$L155*$F$3,0))</f>
        <v/>
      </c>
      <c r="N155" s="31">
        <f>IF($L155="","",$L155-$M155)</f>
        <v/>
      </c>
      <c r="O155" s="31">
        <f>IF($N155="","",$N155*IFERROR(INDEX(Biens!$I$5:$I$14,MATCH($B155,Biens!$A$5:$A$14,0)),0.2))</f>
        <v/>
      </c>
      <c r="P155" s="32">
        <f>IF($N155="","",$N155-$O155)</f>
        <v/>
      </c>
      <c r="Q155" s="25" t="n"/>
      <c r="R155" s="25" t="n"/>
      <c r="S155" s="27" t="n"/>
      <c r="T155" s="26" t="n"/>
    </row>
    <row r="156">
      <c r="A156" s="25" t="n"/>
      <c r="B156" s="25" t="n"/>
      <c r="C156" s="25" t="n"/>
      <c r="D156" s="26" t="n"/>
      <c r="E156" s="25" t="n"/>
      <c r="F156" s="26" t="n"/>
      <c r="G156" s="27" t="n"/>
      <c r="H156" s="27" t="n"/>
      <c r="I156" s="28">
        <f>IF(OR($G156="",$H156=""),"",$H156-$G156)</f>
        <v/>
      </c>
      <c r="J156" s="29" t="n"/>
      <c r="K156" s="30" t="n"/>
      <c r="L156" s="31">
        <f>IF(OR($K156="",$I156=""),"",$K156*$I156)</f>
        <v/>
      </c>
      <c r="M156" s="31">
        <f>IF($L156="","",IF(OR($C156="Airbnb",$C156="Booking"),$L156*$F$3,0))</f>
        <v/>
      </c>
      <c r="N156" s="31">
        <f>IF($L156="","",$L156-$M156)</f>
        <v/>
      </c>
      <c r="O156" s="31">
        <f>IF($N156="","",$N156*IFERROR(INDEX(Biens!$I$5:$I$14,MATCH($B156,Biens!$A$5:$A$14,0)),0.2))</f>
        <v/>
      </c>
      <c r="P156" s="32">
        <f>IF($N156="","",$N156-$O156)</f>
        <v/>
      </c>
      <c r="Q156" s="25" t="n"/>
      <c r="R156" s="25" t="n"/>
      <c r="S156" s="27" t="n"/>
      <c r="T156" s="26" t="n"/>
    </row>
    <row r="157">
      <c r="A157" s="25" t="n"/>
      <c r="B157" s="25" t="n"/>
      <c r="C157" s="25" t="n"/>
      <c r="D157" s="26" t="n"/>
      <c r="E157" s="25" t="n"/>
      <c r="F157" s="26" t="n"/>
      <c r="G157" s="27" t="n"/>
      <c r="H157" s="27" t="n"/>
      <c r="I157" s="28">
        <f>IF(OR($G157="",$H157=""),"",$H157-$G157)</f>
        <v/>
      </c>
      <c r="J157" s="29" t="n"/>
      <c r="K157" s="30" t="n"/>
      <c r="L157" s="31">
        <f>IF(OR($K157="",$I157=""),"",$K157*$I157)</f>
        <v/>
      </c>
      <c r="M157" s="31">
        <f>IF($L157="","",IF(OR($C157="Airbnb",$C157="Booking"),$L157*$F$3,0))</f>
        <v/>
      </c>
      <c r="N157" s="31">
        <f>IF($L157="","",$L157-$M157)</f>
        <v/>
      </c>
      <c r="O157" s="31">
        <f>IF($N157="","",$N157*IFERROR(INDEX(Biens!$I$5:$I$14,MATCH($B157,Biens!$A$5:$A$14,0)),0.2))</f>
        <v/>
      </c>
      <c r="P157" s="32">
        <f>IF($N157="","",$N157-$O157)</f>
        <v/>
      </c>
      <c r="Q157" s="25" t="n"/>
      <c r="R157" s="25" t="n"/>
      <c r="S157" s="27" t="n"/>
      <c r="T157" s="26" t="n"/>
    </row>
    <row r="158">
      <c r="A158" s="25" t="n"/>
      <c r="B158" s="25" t="n"/>
      <c r="C158" s="25" t="n"/>
      <c r="D158" s="26" t="n"/>
      <c r="E158" s="25" t="n"/>
      <c r="F158" s="26" t="n"/>
      <c r="G158" s="27" t="n"/>
      <c r="H158" s="27" t="n"/>
      <c r="I158" s="28">
        <f>IF(OR($G158="",$H158=""),"",$H158-$G158)</f>
        <v/>
      </c>
      <c r="J158" s="29" t="n"/>
      <c r="K158" s="30" t="n"/>
      <c r="L158" s="31">
        <f>IF(OR($K158="",$I158=""),"",$K158*$I158)</f>
        <v/>
      </c>
      <c r="M158" s="31">
        <f>IF($L158="","",IF(OR($C158="Airbnb",$C158="Booking"),$L158*$F$3,0))</f>
        <v/>
      </c>
      <c r="N158" s="31">
        <f>IF($L158="","",$L158-$M158)</f>
        <v/>
      </c>
      <c r="O158" s="31">
        <f>IF($N158="","",$N158*IFERROR(INDEX(Biens!$I$5:$I$14,MATCH($B158,Biens!$A$5:$A$14,0)),0.2))</f>
        <v/>
      </c>
      <c r="P158" s="32">
        <f>IF($N158="","",$N158-$O158)</f>
        <v/>
      </c>
      <c r="Q158" s="25" t="n"/>
      <c r="R158" s="25" t="n"/>
      <c r="S158" s="27" t="n"/>
      <c r="T158" s="26" t="n"/>
    </row>
    <row r="159">
      <c r="A159" s="25" t="n"/>
      <c r="B159" s="25" t="n"/>
      <c r="C159" s="25" t="n"/>
      <c r="D159" s="26" t="n"/>
      <c r="E159" s="25" t="n"/>
      <c r="F159" s="26" t="n"/>
      <c r="G159" s="27" t="n"/>
      <c r="H159" s="27" t="n"/>
      <c r="I159" s="28">
        <f>IF(OR($G159="",$H159=""),"",$H159-$G159)</f>
        <v/>
      </c>
      <c r="J159" s="29" t="n"/>
      <c r="K159" s="30" t="n"/>
      <c r="L159" s="31">
        <f>IF(OR($K159="",$I159=""),"",$K159*$I159)</f>
        <v/>
      </c>
      <c r="M159" s="31">
        <f>IF($L159="","",IF(OR($C159="Airbnb",$C159="Booking"),$L159*$F$3,0))</f>
        <v/>
      </c>
      <c r="N159" s="31">
        <f>IF($L159="","",$L159-$M159)</f>
        <v/>
      </c>
      <c r="O159" s="31">
        <f>IF($N159="","",$N159*IFERROR(INDEX(Biens!$I$5:$I$14,MATCH($B159,Biens!$A$5:$A$14,0)),0.2))</f>
        <v/>
      </c>
      <c r="P159" s="32">
        <f>IF($N159="","",$N159-$O159)</f>
        <v/>
      </c>
      <c r="Q159" s="25" t="n"/>
      <c r="R159" s="25" t="n"/>
      <c r="S159" s="27" t="n"/>
      <c r="T159" s="26" t="n"/>
    </row>
    <row r="160">
      <c r="A160" s="25" t="n"/>
      <c r="B160" s="25" t="n"/>
      <c r="C160" s="25" t="n"/>
      <c r="D160" s="26" t="n"/>
      <c r="E160" s="25" t="n"/>
      <c r="F160" s="26" t="n"/>
      <c r="G160" s="27" t="n"/>
      <c r="H160" s="27" t="n"/>
      <c r="I160" s="28">
        <f>IF(OR($G160="",$H160=""),"",$H160-$G160)</f>
        <v/>
      </c>
      <c r="J160" s="29" t="n"/>
      <c r="K160" s="30" t="n"/>
      <c r="L160" s="31">
        <f>IF(OR($K160="",$I160=""),"",$K160*$I160)</f>
        <v/>
      </c>
      <c r="M160" s="31">
        <f>IF($L160="","",IF(OR($C160="Airbnb",$C160="Booking"),$L160*$F$3,0))</f>
        <v/>
      </c>
      <c r="N160" s="31">
        <f>IF($L160="","",$L160-$M160)</f>
        <v/>
      </c>
      <c r="O160" s="31">
        <f>IF($N160="","",$N160*IFERROR(INDEX(Biens!$I$5:$I$14,MATCH($B160,Biens!$A$5:$A$14,0)),0.2))</f>
        <v/>
      </c>
      <c r="P160" s="32">
        <f>IF($N160="","",$N160-$O160)</f>
        <v/>
      </c>
      <c r="Q160" s="25" t="n"/>
      <c r="R160" s="25" t="n"/>
      <c r="S160" s="27" t="n"/>
      <c r="T160" s="26" t="n"/>
    </row>
    <row r="161">
      <c r="A161" s="25" t="n"/>
      <c r="B161" s="25" t="n"/>
      <c r="C161" s="25" t="n"/>
      <c r="D161" s="26" t="n"/>
      <c r="E161" s="25" t="n"/>
      <c r="F161" s="26" t="n"/>
      <c r="G161" s="27" t="n"/>
      <c r="H161" s="27" t="n"/>
      <c r="I161" s="28">
        <f>IF(OR($G161="",$H161=""),"",$H161-$G161)</f>
        <v/>
      </c>
      <c r="J161" s="29" t="n"/>
      <c r="K161" s="30" t="n"/>
      <c r="L161" s="31">
        <f>IF(OR($K161="",$I161=""),"",$K161*$I161)</f>
        <v/>
      </c>
      <c r="M161" s="31">
        <f>IF($L161="","",IF(OR($C161="Airbnb",$C161="Booking"),$L161*$F$3,0))</f>
        <v/>
      </c>
      <c r="N161" s="31">
        <f>IF($L161="","",$L161-$M161)</f>
        <v/>
      </c>
      <c r="O161" s="31">
        <f>IF($N161="","",$N161*IFERROR(INDEX(Biens!$I$5:$I$14,MATCH($B161,Biens!$A$5:$A$14,0)),0.2))</f>
        <v/>
      </c>
      <c r="P161" s="32">
        <f>IF($N161="","",$N161-$O161)</f>
        <v/>
      </c>
      <c r="Q161" s="25" t="n"/>
      <c r="R161" s="25" t="n"/>
      <c r="S161" s="27" t="n"/>
      <c r="T161" s="26" t="n"/>
    </row>
    <row r="162">
      <c r="A162" s="25" t="n"/>
      <c r="B162" s="25" t="n"/>
      <c r="C162" s="25" t="n"/>
      <c r="D162" s="26" t="n"/>
      <c r="E162" s="25" t="n"/>
      <c r="F162" s="26" t="n"/>
      <c r="G162" s="27" t="n"/>
      <c r="H162" s="27" t="n"/>
      <c r="I162" s="28">
        <f>IF(OR($G162="",$H162=""),"",$H162-$G162)</f>
        <v/>
      </c>
      <c r="J162" s="29" t="n"/>
      <c r="K162" s="30" t="n"/>
      <c r="L162" s="31">
        <f>IF(OR($K162="",$I162=""),"",$K162*$I162)</f>
        <v/>
      </c>
      <c r="M162" s="31">
        <f>IF($L162="","",IF(OR($C162="Airbnb",$C162="Booking"),$L162*$F$3,0))</f>
        <v/>
      </c>
      <c r="N162" s="31">
        <f>IF($L162="","",$L162-$M162)</f>
        <v/>
      </c>
      <c r="O162" s="31">
        <f>IF($N162="","",$N162*IFERROR(INDEX(Biens!$I$5:$I$14,MATCH($B162,Biens!$A$5:$A$14,0)),0.2))</f>
        <v/>
      </c>
      <c r="P162" s="32">
        <f>IF($N162="","",$N162-$O162)</f>
        <v/>
      </c>
      <c r="Q162" s="25" t="n"/>
      <c r="R162" s="25" t="n"/>
      <c r="S162" s="27" t="n"/>
      <c r="T162" s="26" t="n"/>
    </row>
    <row r="163">
      <c r="A163" s="25" t="n"/>
      <c r="B163" s="25" t="n"/>
      <c r="C163" s="25" t="n"/>
      <c r="D163" s="26" t="n"/>
      <c r="E163" s="25" t="n"/>
      <c r="F163" s="26" t="n"/>
      <c r="G163" s="27" t="n"/>
      <c r="H163" s="27" t="n"/>
      <c r="I163" s="28">
        <f>IF(OR($G163="",$H163=""),"",$H163-$G163)</f>
        <v/>
      </c>
      <c r="J163" s="29" t="n"/>
      <c r="K163" s="30" t="n"/>
      <c r="L163" s="31">
        <f>IF(OR($K163="",$I163=""),"",$K163*$I163)</f>
        <v/>
      </c>
      <c r="M163" s="31">
        <f>IF($L163="","",IF(OR($C163="Airbnb",$C163="Booking"),$L163*$F$3,0))</f>
        <v/>
      </c>
      <c r="N163" s="31">
        <f>IF($L163="","",$L163-$M163)</f>
        <v/>
      </c>
      <c r="O163" s="31">
        <f>IF($N163="","",$N163*IFERROR(INDEX(Biens!$I$5:$I$14,MATCH($B163,Biens!$A$5:$A$14,0)),0.2))</f>
        <v/>
      </c>
      <c r="P163" s="32">
        <f>IF($N163="","",$N163-$O163)</f>
        <v/>
      </c>
      <c r="Q163" s="25" t="n"/>
      <c r="R163" s="25" t="n"/>
      <c r="S163" s="27" t="n"/>
      <c r="T163" s="26" t="n"/>
    </row>
    <row r="164">
      <c r="A164" s="25" t="n"/>
      <c r="B164" s="25" t="n"/>
      <c r="C164" s="25" t="n"/>
      <c r="D164" s="26" t="n"/>
      <c r="E164" s="25" t="n"/>
      <c r="F164" s="26" t="n"/>
      <c r="G164" s="27" t="n"/>
      <c r="H164" s="27" t="n"/>
      <c r="I164" s="28">
        <f>IF(OR($G164="",$H164=""),"",$H164-$G164)</f>
        <v/>
      </c>
      <c r="J164" s="29" t="n"/>
      <c r="K164" s="30" t="n"/>
      <c r="L164" s="31">
        <f>IF(OR($K164="",$I164=""),"",$K164*$I164)</f>
        <v/>
      </c>
      <c r="M164" s="31">
        <f>IF($L164="","",IF(OR($C164="Airbnb",$C164="Booking"),$L164*$F$3,0))</f>
        <v/>
      </c>
      <c r="N164" s="31">
        <f>IF($L164="","",$L164-$M164)</f>
        <v/>
      </c>
      <c r="O164" s="31">
        <f>IF($N164="","",$N164*IFERROR(INDEX(Biens!$I$5:$I$14,MATCH($B164,Biens!$A$5:$A$14,0)),0.2))</f>
        <v/>
      </c>
      <c r="P164" s="32">
        <f>IF($N164="","",$N164-$O164)</f>
        <v/>
      </c>
      <c r="Q164" s="25" t="n"/>
      <c r="R164" s="25" t="n"/>
      <c r="S164" s="27" t="n"/>
      <c r="T164" s="26" t="n"/>
    </row>
    <row r="165">
      <c r="A165" s="25" t="n"/>
      <c r="B165" s="25" t="n"/>
      <c r="C165" s="25" t="n"/>
      <c r="D165" s="26" t="n"/>
      <c r="E165" s="25" t="n"/>
      <c r="F165" s="26" t="n"/>
      <c r="G165" s="27" t="n"/>
      <c r="H165" s="27" t="n"/>
      <c r="I165" s="28">
        <f>IF(OR($G165="",$H165=""),"",$H165-$G165)</f>
        <v/>
      </c>
      <c r="J165" s="29" t="n"/>
      <c r="K165" s="30" t="n"/>
      <c r="L165" s="31">
        <f>IF(OR($K165="",$I165=""),"",$K165*$I165)</f>
        <v/>
      </c>
      <c r="M165" s="31">
        <f>IF($L165="","",IF(OR($C165="Airbnb",$C165="Booking"),$L165*$F$3,0))</f>
        <v/>
      </c>
      <c r="N165" s="31">
        <f>IF($L165="","",$L165-$M165)</f>
        <v/>
      </c>
      <c r="O165" s="31">
        <f>IF($N165="","",$N165*IFERROR(INDEX(Biens!$I$5:$I$14,MATCH($B165,Biens!$A$5:$A$14,0)),0.2))</f>
        <v/>
      </c>
      <c r="P165" s="32">
        <f>IF($N165="","",$N165-$O165)</f>
        <v/>
      </c>
      <c r="Q165" s="25" t="n"/>
      <c r="R165" s="25" t="n"/>
      <c r="S165" s="27" t="n"/>
      <c r="T165" s="26" t="n"/>
    </row>
    <row r="166">
      <c r="A166" s="25" t="n"/>
      <c r="B166" s="25" t="n"/>
      <c r="C166" s="25" t="n"/>
      <c r="D166" s="26" t="n"/>
      <c r="E166" s="25" t="n"/>
      <c r="F166" s="26" t="n"/>
      <c r="G166" s="27" t="n"/>
      <c r="H166" s="27" t="n"/>
      <c r="I166" s="28">
        <f>IF(OR($G166="",$H166=""),"",$H166-$G166)</f>
        <v/>
      </c>
      <c r="J166" s="29" t="n"/>
      <c r="K166" s="30" t="n"/>
      <c r="L166" s="31">
        <f>IF(OR($K166="",$I166=""),"",$K166*$I166)</f>
        <v/>
      </c>
      <c r="M166" s="31">
        <f>IF($L166="","",IF(OR($C166="Airbnb",$C166="Booking"),$L166*$F$3,0))</f>
        <v/>
      </c>
      <c r="N166" s="31">
        <f>IF($L166="","",$L166-$M166)</f>
        <v/>
      </c>
      <c r="O166" s="31">
        <f>IF($N166="","",$N166*IFERROR(INDEX(Biens!$I$5:$I$14,MATCH($B166,Biens!$A$5:$A$14,0)),0.2))</f>
        <v/>
      </c>
      <c r="P166" s="32">
        <f>IF($N166="","",$N166-$O166)</f>
        <v/>
      </c>
      <c r="Q166" s="25" t="n"/>
      <c r="R166" s="25" t="n"/>
      <c r="S166" s="27" t="n"/>
      <c r="T166" s="26" t="n"/>
    </row>
    <row r="167">
      <c r="A167" s="25" t="n"/>
      <c r="B167" s="25" t="n"/>
      <c r="C167" s="25" t="n"/>
      <c r="D167" s="26" t="n"/>
      <c r="E167" s="25" t="n"/>
      <c r="F167" s="26" t="n"/>
      <c r="G167" s="27" t="n"/>
      <c r="H167" s="27" t="n"/>
      <c r="I167" s="28">
        <f>IF(OR($G167="",$H167=""),"",$H167-$G167)</f>
        <v/>
      </c>
      <c r="J167" s="29" t="n"/>
      <c r="K167" s="30" t="n"/>
      <c r="L167" s="31">
        <f>IF(OR($K167="",$I167=""),"",$K167*$I167)</f>
        <v/>
      </c>
      <c r="M167" s="31">
        <f>IF($L167="","",IF(OR($C167="Airbnb",$C167="Booking"),$L167*$F$3,0))</f>
        <v/>
      </c>
      <c r="N167" s="31">
        <f>IF($L167="","",$L167-$M167)</f>
        <v/>
      </c>
      <c r="O167" s="31">
        <f>IF($N167="","",$N167*IFERROR(INDEX(Biens!$I$5:$I$14,MATCH($B167,Biens!$A$5:$A$14,0)),0.2))</f>
        <v/>
      </c>
      <c r="P167" s="32">
        <f>IF($N167="","",$N167-$O167)</f>
        <v/>
      </c>
      <c r="Q167" s="25" t="n"/>
      <c r="R167" s="25" t="n"/>
      <c r="S167" s="27" t="n"/>
      <c r="T167" s="26" t="n"/>
    </row>
    <row r="168">
      <c r="A168" s="25" t="n"/>
      <c r="B168" s="25" t="n"/>
      <c r="C168" s="25" t="n"/>
      <c r="D168" s="26" t="n"/>
      <c r="E168" s="25" t="n"/>
      <c r="F168" s="26" t="n"/>
      <c r="G168" s="27" t="n"/>
      <c r="H168" s="27" t="n"/>
      <c r="I168" s="28">
        <f>IF(OR($G168="",$H168=""),"",$H168-$G168)</f>
        <v/>
      </c>
      <c r="J168" s="29" t="n"/>
      <c r="K168" s="30" t="n"/>
      <c r="L168" s="31">
        <f>IF(OR($K168="",$I168=""),"",$K168*$I168)</f>
        <v/>
      </c>
      <c r="M168" s="31">
        <f>IF($L168="","",IF(OR($C168="Airbnb",$C168="Booking"),$L168*$F$3,0))</f>
        <v/>
      </c>
      <c r="N168" s="31">
        <f>IF($L168="","",$L168-$M168)</f>
        <v/>
      </c>
      <c r="O168" s="31">
        <f>IF($N168="","",$N168*IFERROR(INDEX(Biens!$I$5:$I$14,MATCH($B168,Biens!$A$5:$A$14,0)),0.2))</f>
        <v/>
      </c>
      <c r="P168" s="32">
        <f>IF($N168="","",$N168-$O168)</f>
        <v/>
      </c>
      <c r="Q168" s="25" t="n"/>
      <c r="R168" s="25" t="n"/>
      <c r="S168" s="27" t="n"/>
      <c r="T168" s="26" t="n"/>
    </row>
    <row r="169">
      <c r="A169" s="25" t="n"/>
      <c r="B169" s="25" t="n"/>
      <c r="C169" s="25" t="n"/>
      <c r="D169" s="26" t="n"/>
      <c r="E169" s="25" t="n"/>
      <c r="F169" s="26" t="n"/>
      <c r="G169" s="27" t="n"/>
      <c r="H169" s="27" t="n"/>
      <c r="I169" s="28">
        <f>IF(OR($G169="",$H169=""),"",$H169-$G169)</f>
        <v/>
      </c>
      <c r="J169" s="29" t="n"/>
      <c r="K169" s="30" t="n"/>
      <c r="L169" s="31">
        <f>IF(OR($K169="",$I169=""),"",$K169*$I169)</f>
        <v/>
      </c>
      <c r="M169" s="31">
        <f>IF($L169="","",IF(OR($C169="Airbnb",$C169="Booking"),$L169*$F$3,0))</f>
        <v/>
      </c>
      <c r="N169" s="31">
        <f>IF($L169="","",$L169-$M169)</f>
        <v/>
      </c>
      <c r="O169" s="31">
        <f>IF($N169="","",$N169*IFERROR(INDEX(Biens!$I$5:$I$14,MATCH($B169,Biens!$A$5:$A$14,0)),0.2))</f>
        <v/>
      </c>
      <c r="P169" s="32">
        <f>IF($N169="","",$N169-$O169)</f>
        <v/>
      </c>
      <c r="Q169" s="25" t="n"/>
      <c r="R169" s="25" t="n"/>
      <c r="S169" s="27" t="n"/>
      <c r="T169" s="26" t="n"/>
    </row>
    <row r="170">
      <c r="A170" s="25" t="n"/>
      <c r="B170" s="25" t="n"/>
      <c r="C170" s="25" t="n"/>
      <c r="D170" s="26" t="n"/>
      <c r="E170" s="25" t="n"/>
      <c r="F170" s="26" t="n"/>
      <c r="G170" s="27" t="n"/>
      <c r="H170" s="27" t="n"/>
      <c r="I170" s="28">
        <f>IF(OR($G170="",$H170=""),"",$H170-$G170)</f>
        <v/>
      </c>
      <c r="J170" s="29" t="n"/>
      <c r="K170" s="30" t="n"/>
      <c r="L170" s="31">
        <f>IF(OR($K170="",$I170=""),"",$K170*$I170)</f>
        <v/>
      </c>
      <c r="M170" s="31">
        <f>IF($L170="","",IF(OR($C170="Airbnb",$C170="Booking"),$L170*$F$3,0))</f>
        <v/>
      </c>
      <c r="N170" s="31">
        <f>IF($L170="","",$L170-$M170)</f>
        <v/>
      </c>
      <c r="O170" s="31">
        <f>IF($N170="","",$N170*IFERROR(INDEX(Biens!$I$5:$I$14,MATCH($B170,Biens!$A$5:$A$14,0)),0.2))</f>
        <v/>
      </c>
      <c r="P170" s="32">
        <f>IF($N170="","",$N170-$O170)</f>
        <v/>
      </c>
      <c r="Q170" s="25" t="n"/>
      <c r="R170" s="25" t="n"/>
      <c r="S170" s="27" t="n"/>
      <c r="T170" s="26" t="n"/>
    </row>
    <row r="171">
      <c r="A171" s="25" t="n"/>
      <c r="B171" s="25" t="n"/>
      <c r="C171" s="25" t="n"/>
      <c r="D171" s="26" t="n"/>
      <c r="E171" s="25" t="n"/>
      <c r="F171" s="26" t="n"/>
      <c r="G171" s="27" t="n"/>
      <c r="H171" s="27" t="n"/>
      <c r="I171" s="28">
        <f>IF(OR($G171="",$H171=""),"",$H171-$G171)</f>
        <v/>
      </c>
      <c r="J171" s="29" t="n"/>
      <c r="K171" s="30" t="n"/>
      <c r="L171" s="31">
        <f>IF(OR($K171="",$I171=""),"",$K171*$I171)</f>
        <v/>
      </c>
      <c r="M171" s="31">
        <f>IF($L171="","",IF(OR($C171="Airbnb",$C171="Booking"),$L171*$F$3,0))</f>
        <v/>
      </c>
      <c r="N171" s="31">
        <f>IF($L171="","",$L171-$M171)</f>
        <v/>
      </c>
      <c r="O171" s="31">
        <f>IF($N171="","",$N171*IFERROR(INDEX(Biens!$I$5:$I$14,MATCH($B171,Biens!$A$5:$A$14,0)),0.2))</f>
        <v/>
      </c>
      <c r="P171" s="32">
        <f>IF($N171="","",$N171-$O171)</f>
        <v/>
      </c>
      <c r="Q171" s="25" t="n"/>
      <c r="R171" s="25" t="n"/>
      <c r="S171" s="27" t="n"/>
      <c r="T171" s="26" t="n"/>
    </row>
    <row r="172">
      <c r="A172" s="25" t="n"/>
      <c r="B172" s="25" t="n"/>
      <c r="C172" s="25" t="n"/>
      <c r="D172" s="26" t="n"/>
      <c r="E172" s="25" t="n"/>
      <c r="F172" s="26" t="n"/>
      <c r="G172" s="27" t="n"/>
      <c r="H172" s="27" t="n"/>
      <c r="I172" s="28">
        <f>IF(OR($G172="",$H172=""),"",$H172-$G172)</f>
        <v/>
      </c>
      <c r="J172" s="29" t="n"/>
      <c r="K172" s="30" t="n"/>
      <c r="L172" s="31">
        <f>IF(OR($K172="",$I172=""),"",$K172*$I172)</f>
        <v/>
      </c>
      <c r="M172" s="31">
        <f>IF($L172="","",IF(OR($C172="Airbnb",$C172="Booking"),$L172*$F$3,0))</f>
        <v/>
      </c>
      <c r="N172" s="31">
        <f>IF($L172="","",$L172-$M172)</f>
        <v/>
      </c>
      <c r="O172" s="31">
        <f>IF($N172="","",$N172*IFERROR(INDEX(Biens!$I$5:$I$14,MATCH($B172,Biens!$A$5:$A$14,0)),0.2))</f>
        <v/>
      </c>
      <c r="P172" s="32">
        <f>IF($N172="","",$N172-$O172)</f>
        <v/>
      </c>
      <c r="Q172" s="25" t="n"/>
      <c r="R172" s="25" t="n"/>
      <c r="S172" s="27" t="n"/>
      <c r="T172" s="26" t="n"/>
    </row>
    <row r="173">
      <c r="A173" s="25" t="n"/>
      <c r="B173" s="25" t="n"/>
      <c r="C173" s="25" t="n"/>
      <c r="D173" s="26" t="n"/>
      <c r="E173" s="25" t="n"/>
      <c r="F173" s="26" t="n"/>
      <c r="G173" s="27" t="n"/>
      <c r="H173" s="27" t="n"/>
      <c r="I173" s="28">
        <f>IF(OR($G173="",$H173=""),"",$H173-$G173)</f>
        <v/>
      </c>
      <c r="J173" s="29" t="n"/>
      <c r="K173" s="30" t="n"/>
      <c r="L173" s="31">
        <f>IF(OR($K173="",$I173=""),"",$K173*$I173)</f>
        <v/>
      </c>
      <c r="M173" s="31">
        <f>IF($L173="","",IF(OR($C173="Airbnb",$C173="Booking"),$L173*$F$3,0))</f>
        <v/>
      </c>
      <c r="N173" s="31">
        <f>IF($L173="","",$L173-$M173)</f>
        <v/>
      </c>
      <c r="O173" s="31">
        <f>IF($N173="","",$N173*IFERROR(INDEX(Biens!$I$5:$I$14,MATCH($B173,Biens!$A$5:$A$14,0)),0.2))</f>
        <v/>
      </c>
      <c r="P173" s="32">
        <f>IF($N173="","",$N173-$O173)</f>
        <v/>
      </c>
      <c r="Q173" s="25" t="n"/>
      <c r="R173" s="25" t="n"/>
      <c r="S173" s="27" t="n"/>
      <c r="T173" s="26" t="n"/>
    </row>
    <row r="174">
      <c r="A174" s="25" t="n"/>
      <c r="B174" s="25" t="n"/>
      <c r="C174" s="25" t="n"/>
      <c r="D174" s="26" t="n"/>
      <c r="E174" s="25" t="n"/>
      <c r="F174" s="26" t="n"/>
      <c r="G174" s="27" t="n"/>
      <c r="H174" s="27" t="n"/>
      <c r="I174" s="28">
        <f>IF(OR($G174="",$H174=""),"",$H174-$G174)</f>
        <v/>
      </c>
      <c r="J174" s="29" t="n"/>
      <c r="K174" s="30" t="n"/>
      <c r="L174" s="31">
        <f>IF(OR($K174="",$I174=""),"",$K174*$I174)</f>
        <v/>
      </c>
      <c r="M174" s="31">
        <f>IF($L174="","",IF(OR($C174="Airbnb",$C174="Booking"),$L174*$F$3,0))</f>
        <v/>
      </c>
      <c r="N174" s="31">
        <f>IF($L174="","",$L174-$M174)</f>
        <v/>
      </c>
      <c r="O174" s="31">
        <f>IF($N174="","",$N174*IFERROR(INDEX(Biens!$I$5:$I$14,MATCH($B174,Biens!$A$5:$A$14,0)),0.2))</f>
        <v/>
      </c>
      <c r="P174" s="32">
        <f>IF($N174="","",$N174-$O174)</f>
        <v/>
      </c>
      <c r="Q174" s="25" t="n"/>
      <c r="R174" s="25" t="n"/>
      <c r="S174" s="27" t="n"/>
      <c r="T174" s="26" t="n"/>
    </row>
    <row r="175">
      <c r="A175" s="25" t="n"/>
      <c r="B175" s="25" t="n"/>
      <c r="C175" s="25" t="n"/>
      <c r="D175" s="26" t="n"/>
      <c r="E175" s="25" t="n"/>
      <c r="F175" s="26" t="n"/>
      <c r="G175" s="27" t="n"/>
      <c r="H175" s="27" t="n"/>
      <c r="I175" s="28">
        <f>IF(OR($G175="",$H175=""),"",$H175-$G175)</f>
        <v/>
      </c>
      <c r="J175" s="29" t="n"/>
      <c r="K175" s="30" t="n"/>
      <c r="L175" s="31">
        <f>IF(OR($K175="",$I175=""),"",$K175*$I175)</f>
        <v/>
      </c>
      <c r="M175" s="31">
        <f>IF($L175="","",IF(OR($C175="Airbnb",$C175="Booking"),$L175*$F$3,0))</f>
        <v/>
      </c>
      <c r="N175" s="31">
        <f>IF($L175="","",$L175-$M175)</f>
        <v/>
      </c>
      <c r="O175" s="31">
        <f>IF($N175="","",$N175*IFERROR(INDEX(Biens!$I$5:$I$14,MATCH($B175,Biens!$A$5:$A$14,0)),0.2))</f>
        <v/>
      </c>
      <c r="P175" s="32">
        <f>IF($N175="","",$N175-$O175)</f>
        <v/>
      </c>
      <c r="Q175" s="25" t="n"/>
      <c r="R175" s="25" t="n"/>
      <c r="S175" s="27" t="n"/>
      <c r="T175" s="26" t="n"/>
    </row>
    <row r="176">
      <c r="A176" s="25" t="n"/>
      <c r="B176" s="25" t="n"/>
      <c r="C176" s="25" t="n"/>
      <c r="D176" s="26" t="n"/>
      <c r="E176" s="25" t="n"/>
      <c r="F176" s="26" t="n"/>
      <c r="G176" s="27" t="n"/>
      <c r="H176" s="27" t="n"/>
      <c r="I176" s="28">
        <f>IF(OR($G176="",$H176=""),"",$H176-$G176)</f>
        <v/>
      </c>
      <c r="J176" s="29" t="n"/>
      <c r="K176" s="30" t="n"/>
      <c r="L176" s="31">
        <f>IF(OR($K176="",$I176=""),"",$K176*$I176)</f>
        <v/>
      </c>
      <c r="M176" s="31">
        <f>IF($L176="","",IF(OR($C176="Airbnb",$C176="Booking"),$L176*$F$3,0))</f>
        <v/>
      </c>
      <c r="N176" s="31">
        <f>IF($L176="","",$L176-$M176)</f>
        <v/>
      </c>
      <c r="O176" s="31">
        <f>IF($N176="","",$N176*IFERROR(INDEX(Biens!$I$5:$I$14,MATCH($B176,Biens!$A$5:$A$14,0)),0.2))</f>
        <v/>
      </c>
      <c r="P176" s="32">
        <f>IF($N176="","",$N176-$O176)</f>
        <v/>
      </c>
      <c r="Q176" s="25" t="n"/>
      <c r="R176" s="25" t="n"/>
      <c r="S176" s="27" t="n"/>
      <c r="T176" s="26" t="n"/>
    </row>
    <row r="177">
      <c r="A177" s="25" t="n"/>
      <c r="B177" s="25" t="n"/>
      <c r="C177" s="25" t="n"/>
      <c r="D177" s="26" t="n"/>
      <c r="E177" s="25" t="n"/>
      <c r="F177" s="26" t="n"/>
      <c r="G177" s="27" t="n"/>
      <c r="H177" s="27" t="n"/>
      <c r="I177" s="28">
        <f>IF(OR($G177="",$H177=""),"",$H177-$G177)</f>
        <v/>
      </c>
      <c r="J177" s="29" t="n"/>
      <c r="K177" s="30" t="n"/>
      <c r="L177" s="31">
        <f>IF(OR($K177="",$I177=""),"",$K177*$I177)</f>
        <v/>
      </c>
      <c r="M177" s="31">
        <f>IF($L177="","",IF(OR($C177="Airbnb",$C177="Booking"),$L177*$F$3,0))</f>
        <v/>
      </c>
      <c r="N177" s="31">
        <f>IF($L177="","",$L177-$M177)</f>
        <v/>
      </c>
      <c r="O177" s="31">
        <f>IF($N177="","",$N177*IFERROR(INDEX(Biens!$I$5:$I$14,MATCH($B177,Biens!$A$5:$A$14,0)),0.2))</f>
        <v/>
      </c>
      <c r="P177" s="32">
        <f>IF($N177="","",$N177-$O177)</f>
        <v/>
      </c>
      <c r="Q177" s="25" t="n"/>
      <c r="R177" s="25" t="n"/>
      <c r="S177" s="27" t="n"/>
      <c r="T177" s="26" t="n"/>
    </row>
    <row r="178">
      <c r="A178" s="25" t="n"/>
      <c r="B178" s="25" t="n"/>
      <c r="C178" s="25" t="n"/>
      <c r="D178" s="26" t="n"/>
      <c r="E178" s="25" t="n"/>
      <c r="F178" s="26" t="n"/>
      <c r="G178" s="27" t="n"/>
      <c r="H178" s="27" t="n"/>
      <c r="I178" s="28">
        <f>IF(OR($G178="",$H178=""),"",$H178-$G178)</f>
        <v/>
      </c>
      <c r="J178" s="29" t="n"/>
      <c r="K178" s="30" t="n"/>
      <c r="L178" s="31">
        <f>IF(OR($K178="",$I178=""),"",$K178*$I178)</f>
        <v/>
      </c>
      <c r="M178" s="31">
        <f>IF($L178="","",IF(OR($C178="Airbnb",$C178="Booking"),$L178*$F$3,0))</f>
        <v/>
      </c>
      <c r="N178" s="31">
        <f>IF($L178="","",$L178-$M178)</f>
        <v/>
      </c>
      <c r="O178" s="31">
        <f>IF($N178="","",$N178*IFERROR(INDEX(Biens!$I$5:$I$14,MATCH($B178,Biens!$A$5:$A$14,0)),0.2))</f>
        <v/>
      </c>
      <c r="P178" s="32">
        <f>IF($N178="","",$N178-$O178)</f>
        <v/>
      </c>
      <c r="Q178" s="25" t="n"/>
      <c r="R178" s="25" t="n"/>
      <c r="S178" s="27" t="n"/>
      <c r="T178" s="26" t="n"/>
    </row>
    <row r="179">
      <c r="A179" s="25" t="n"/>
      <c r="B179" s="25" t="n"/>
      <c r="C179" s="25" t="n"/>
      <c r="D179" s="26" t="n"/>
      <c r="E179" s="25" t="n"/>
      <c r="F179" s="26" t="n"/>
      <c r="G179" s="27" t="n"/>
      <c r="H179" s="27" t="n"/>
      <c r="I179" s="28">
        <f>IF(OR($G179="",$H179=""),"",$H179-$G179)</f>
        <v/>
      </c>
      <c r="J179" s="29" t="n"/>
      <c r="K179" s="30" t="n"/>
      <c r="L179" s="31">
        <f>IF(OR($K179="",$I179=""),"",$K179*$I179)</f>
        <v/>
      </c>
      <c r="M179" s="31">
        <f>IF($L179="","",IF(OR($C179="Airbnb",$C179="Booking"),$L179*$F$3,0))</f>
        <v/>
      </c>
      <c r="N179" s="31">
        <f>IF($L179="","",$L179-$M179)</f>
        <v/>
      </c>
      <c r="O179" s="31">
        <f>IF($N179="","",$N179*IFERROR(INDEX(Biens!$I$5:$I$14,MATCH($B179,Biens!$A$5:$A$14,0)),0.2))</f>
        <v/>
      </c>
      <c r="P179" s="32">
        <f>IF($N179="","",$N179-$O179)</f>
        <v/>
      </c>
      <c r="Q179" s="25" t="n"/>
      <c r="R179" s="25" t="n"/>
      <c r="S179" s="27" t="n"/>
      <c r="T179" s="26" t="n"/>
    </row>
    <row r="180">
      <c r="A180" s="25" t="n"/>
      <c r="B180" s="25" t="n"/>
      <c r="C180" s="25" t="n"/>
      <c r="D180" s="26" t="n"/>
      <c r="E180" s="25" t="n"/>
      <c r="F180" s="26" t="n"/>
      <c r="G180" s="27" t="n"/>
      <c r="H180" s="27" t="n"/>
      <c r="I180" s="28">
        <f>IF(OR($G180="",$H180=""),"",$H180-$G180)</f>
        <v/>
      </c>
      <c r="J180" s="29" t="n"/>
      <c r="K180" s="30" t="n"/>
      <c r="L180" s="31">
        <f>IF(OR($K180="",$I180=""),"",$K180*$I180)</f>
        <v/>
      </c>
      <c r="M180" s="31">
        <f>IF($L180="","",IF(OR($C180="Airbnb",$C180="Booking"),$L180*$F$3,0))</f>
        <v/>
      </c>
      <c r="N180" s="31">
        <f>IF($L180="","",$L180-$M180)</f>
        <v/>
      </c>
      <c r="O180" s="31">
        <f>IF($N180="","",$N180*IFERROR(INDEX(Biens!$I$5:$I$14,MATCH($B180,Biens!$A$5:$A$14,0)),0.2))</f>
        <v/>
      </c>
      <c r="P180" s="32">
        <f>IF($N180="","",$N180-$O180)</f>
        <v/>
      </c>
      <c r="Q180" s="25" t="n"/>
      <c r="R180" s="25" t="n"/>
      <c r="S180" s="27" t="n"/>
      <c r="T180" s="26" t="n"/>
    </row>
    <row r="181">
      <c r="A181" s="25" t="n"/>
      <c r="B181" s="25" t="n"/>
      <c r="C181" s="25" t="n"/>
      <c r="D181" s="26" t="n"/>
      <c r="E181" s="25" t="n"/>
      <c r="F181" s="26" t="n"/>
      <c r="G181" s="27" t="n"/>
      <c r="H181" s="27" t="n"/>
      <c r="I181" s="28">
        <f>IF(OR($G181="",$H181=""),"",$H181-$G181)</f>
        <v/>
      </c>
      <c r="J181" s="29" t="n"/>
      <c r="K181" s="30" t="n"/>
      <c r="L181" s="31">
        <f>IF(OR($K181="",$I181=""),"",$K181*$I181)</f>
        <v/>
      </c>
      <c r="M181" s="31">
        <f>IF($L181="","",IF(OR($C181="Airbnb",$C181="Booking"),$L181*$F$3,0))</f>
        <v/>
      </c>
      <c r="N181" s="31">
        <f>IF($L181="","",$L181-$M181)</f>
        <v/>
      </c>
      <c r="O181" s="31">
        <f>IF($N181="","",$N181*IFERROR(INDEX(Biens!$I$5:$I$14,MATCH($B181,Biens!$A$5:$A$14,0)),0.2))</f>
        <v/>
      </c>
      <c r="P181" s="32">
        <f>IF($N181="","",$N181-$O181)</f>
        <v/>
      </c>
      <c r="Q181" s="25" t="n"/>
      <c r="R181" s="25" t="n"/>
      <c r="S181" s="27" t="n"/>
      <c r="T181" s="26" t="n"/>
    </row>
    <row r="182">
      <c r="A182" s="25" t="n"/>
      <c r="B182" s="25" t="n"/>
      <c r="C182" s="25" t="n"/>
      <c r="D182" s="26" t="n"/>
      <c r="E182" s="25" t="n"/>
      <c r="F182" s="26" t="n"/>
      <c r="G182" s="27" t="n"/>
      <c r="H182" s="27" t="n"/>
      <c r="I182" s="28">
        <f>IF(OR($G182="",$H182=""),"",$H182-$G182)</f>
        <v/>
      </c>
      <c r="J182" s="29" t="n"/>
      <c r="K182" s="30" t="n"/>
      <c r="L182" s="31">
        <f>IF(OR($K182="",$I182=""),"",$K182*$I182)</f>
        <v/>
      </c>
      <c r="M182" s="31">
        <f>IF($L182="","",IF(OR($C182="Airbnb",$C182="Booking"),$L182*$F$3,0))</f>
        <v/>
      </c>
      <c r="N182" s="31">
        <f>IF($L182="","",$L182-$M182)</f>
        <v/>
      </c>
      <c r="O182" s="31">
        <f>IF($N182="","",$N182*IFERROR(INDEX(Biens!$I$5:$I$14,MATCH($B182,Biens!$A$5:$A$14,0)),0.2))</f>
        <v/>
      </c>
      <c r="P182" s="32">
        <f>IF($N182="","",$N182-$O182)</f>
        <v/>
      </c>
      <c r="Q182" s="25" t="n"/>
      <c r="R182" s="25" t="n"/>
      <c r="S182" s="27" t="n"/>
      <c r="T182" s="26" t="n"/>
    </row>
    <row r="183">
      <c r="A183" s="25" t="n"/>
      <c r="B183" s="25" t="n"/>
      <c r="C183" s="25" t="n"/>
      <c r="D183" s="26" t="n"/>
      <c r="E183" s="25" t="n"/>
      <c r="F183" s="26" t="n"/>
      <c r="G183" s="27" t="n"/>
      <c r="H183" s="27" t="n"/>
      <c r="I183" s="28">
        <f>IF(OR($G183="",$H183=""),"",$H183-$G183)</f>
        <v/>
      </c>
      <c r="J183" s="29" t="n"/>
      <c r="K183" s="30" t="n"/>
      <c r="L183" s="31">
        <f>IF(OR($K183="",$I183=""),"",$K183*$I183)</f>
        <v/>
      </c>
      <c r="M183" s="31">
        <f>IF($L183="","",IF(OR($C183="Airbnb",$C183="Booking"),$L183*$F$3,0))</f>
        <v/>
      </c>
      <c r="N183" s="31">
        <f>IF($L183="","",$L183-$M183)</f>
        <v/>
      </c>
      <c r="O183" s="31">
        <f>IF($N183="","",$N183*IFERROR(INDEX(Biens!$I$5:$I$14,MATCH($B183,Biens!$A$5:$A$14,0)),0.2))</f>
        <v/>
      </c>
      <c r="P183" s="32">
        <f>IF($N183="","",$N183-$O183)</f>
        <v/>
      </c>
      <c r="Q183" s="25" t="n"/>
      <c r="R183" s="25" t="n"/>
      <c r="S183" s="27" t="n"/>
      <c r="T183" s="26" t="n"/>
    </row>
    <row r="184">
      <c r="A184" s="25" t="n"/>
      <c r="B184" s="25" t="n"/>
      <c r="C184" s="25" t="n"/>
      <c r="D184" s="26" t="n"/>
      <c r="E184" s="25" t="n"/>
      <c r="F184" s="26" t="n"/>
      <c r="G184" s="27" t="n"/>
      <c r="H184" s="27" t="n"/>
      <c r="I184" s="28">
        <f>IF(OR($G184="",$H184=""),"",$H184-$G184)</f>
        <v/>
      </c>
      <c r="J184" s="29" t="n"/>
      <c r="K184" s="30" t="n"/>
      <c r="L184" s="31">
        <f>IF(OR($K184="",$I184=""),"",$K184*$I184)</f>
        <v/>
      </c>
      <c r="M184" s="31">
        <f>IF($L184="","",IF(OR($C184="Airbnb",$C184="Booking"),$L184*$F$3,0))</f>
        <v/>
      </c>
      <c r="N184" s="31">
        <f>IF($L184="","",$L184-$M184)</f>
        <v/>
      </c>
      <c r="O184" s="31">
        <f>IF($N184="","",$N184*IFERROR(INDEX(Biens!$I$5:$I$14,MATCH($B184,Biens!$A$5:$A$14,0)),0.2))</f>
        <v/>
      </c>
      <c r="P184" s="32">
        <f>IF($N184="","",$N184-$O184)</f>
        <v/>
      </c>
      <c r="Q184" s="25" t="n"/>
      <c r="R184" s="25" t="n"/>
      <c r="S184" s="27" t="n"/>
      <c r="T184" s="26" t="n"/>
    </row>
    <row r="185">
      <c r="A185" s="25" t="n"/>
      <c r="B185" s="25" t="n"/>
      <c r="C185" s="25" t="n"/>
      <c r="D185" s="26" t="n"/>
      <c r="E185" s="25" t="n"/>
      <c r="F185" s="26" t="n"/>
      <c r="G185" s="27" t="n"/>
      <c r="H185" s="27" t="n"/>
      <c r="I185" s="28">
        <f>IF(OR($G185="",$H185=""),"",$H185-$G185)</f>
        <v/>
      </c>
      <c r="J185" s="29" t="n"/>
      <c r="K185" s="30" t="n"/>
      <c r="L185" s="31">
        <f>IF(OR($K185="",$I185=""),"",$K185*$I185)</f>
        <v/>
      </c>
      <c r="M185" s="31">
        <f>IF($L185="","",IF(OR($C185="Airbnb",$C185="Booking"),$L185*$F$3,0))</f>
        <v/>
      </c>
      <c r="N185" s="31">
        <f>IF($L185="","",$L185-$M185)</f>
        <v/>
      </c>
      <c r="O185" s="31">
        <f>IF($N185="","",$N185*IFERROR(INDEX(Biens!$I$5:$I$14,MATCH($B185,Biens!$A$5:$A$14,0)),0.2))</f>
        <v/>
      </c>
      <c r="P185" s="32">
        <f>IF($N185="","",$N185-$O185)</f>
        <v/>
      </c>
      <c r="Q185" s="25" t="n"/>
      <c r="R185" s="25" t="n"/>
      <c r="S185" s="27" t="n"/>
      <c r="T185" s="26" t="n"/>
    </row>
    <row r="186">
      <c r="A186" s="25" t="n"/>
      <c r="B186" s="25" t="n"/>
      <c r="C186" s="25" t="n"/>
      <c r="D186" s="26" t="n"/>
      <c r="E186" s="25" t="n"/>
      <c r="F186" s="26" t="n"/>
      <c r="G186" s="27" t="n"/>
      <c r="H186" s="27" t="n"/>
      <c r="I186" s="28">
        <f>IF(OR($G186="",$H186=""),"",$H186-$G186)</f>
        <v/>
      </c>
      <c r="J186" s="29" t="n"/>
      <c r="K186" s="30" t="n"/>
      <c r="L186" s="31">
        <f>IF(OR($K186="",$I186=""),"",$K186*$I186)</f>
        <v/>
      </c>
      <c r="M186" s="31">
        <f>IF($L186="","",IF(OR($C186="Airbnb",$C186="Booking"),$L186*$F$3,0))</f>
        <v/>
      </c>
      <c r="N186" s="31">
        <f>IF($L186="","",$L186-$M186)</f>
        <v/>
      </c>
      <c r="O186" s="31">
        <f>IF($N186="","",$N186*IFERROR(INDEX(Biens!$I$5:$I$14,MATCH($B186,Biens!$A$5:$A$14,0)),0.2))</f>
        <v/>
      </c>
      <c r="P186" s="32">
        <f>IF($N186="","",$N186-$O186)</f>
        <v/>
      </c>
      <c r="Q186" s="25" t="n"/>
      <c r="R186" s="25" t="n"/>
      <c r="S186" s="27" t="n"/>
      <c r="T186" s="26" t="n"/>
    </row>
    <row r="187">
      <c r="A187" s="25" t="n"/>
      <c r="B187" s="25" t="n"/>
      <c r="C187" s="25" t="n"/>
      <c r="D187" s="26" t="n"/>
      <c r="E187" s="25" t="n"/>
      <c r="F187" s="26" t="n"/>
      <c r="G187" s="27" t="n"/>
      <c r="H187" s="27" t="n"/>
      <c r="I187" s="28">
        <f>IF(OR($G187="",$H187=""),"",$H187-$G187)</f>
        <v/>
      </c>
      <c r="J187" s="29" t="n"/>
      <c r="K187" s="30" t="n"/>
      <c r="L187" s="31">
        <f>IF(OR($K187="",$I187=""),"",$K187*$I187)</f>
        <v/>
      </c>
      <c r="M187" s="31">
        <f>IF($L187="","",IF(OR($C187="Airbnb",$C187="Booking"),$L187*$F$3,0))</f>
        <v/>
      </c>
      <c r="N187" s="31">
        <f>IF($L187="","",$L187-$M187)</f>
        <v/>
      </c>
      <c r="O187" s="31">
        <f>IF($N187="","",$N187*IFERROR(INDEX(Biens!$I$5:$I$14,MATCH($B187,Biens!$A$5:$A$14,0)),0.2))</f>
        <v/>
      </c>
      <c r="P187" s="32">
        <f>IF($N187="","",$N187-$O187)</f>
        <v/>
      </c>
      <c r="Q187" s="25" t="n"/>
      <c r="R187" s="25" t="n"/>
      <c r="S187" s="27" t="n"/>
      <c r="T187" s="26" t="n"/>
    </row>
    <row r="188">
      <c r="A188" s="25" t="n"/>
      <c r="B188" s="25" t="n"/>
      <c r="C188" s="25" t="n"/>
      <c r="D188" s="26" t="n"/>
      <c r="E188" s="25" t="n"/>
      <c r="F188" s="26" t="n"/>
      <c r="G188" s="27" t="n"/>
      <c r="H188" s="27" t="n"/>
      <c r="I188" s="28">
        <f>IF(OR($G188="",$H188=""),"",$H188-$G188)</f>
        <v/>
      </c>
      <c r="J188" s="29" t="n"/>
      <c r="K188" s="30" t="n"/>
      <c r="L188" s="31">
        <f>IF(OR($K188="",$I188=""),"",$K188*$I188)</f>
        <v/>
      </c>
      <c r="M188" s="31">
        <f>IF($L188="","",IF(OR($C188="Airbnb",$C188="Booking"),$L188*$F$3,0))</f>
        <v/>
      </c>
      <c r="N188" s="31">
        <f>IF($L188="","",$L188-$M188)</f>
        <v/>
      </c>
      <c r="O188" s="31">
        <f>IF($N188="","",$N188*IFERROR(INDEX(Biens!$I$5:$I$14,MATCH($B188,Biens!$A$5:$A$14,0)),0.2))</f>
        <v/>
      </c>
      <c r="P188" s="32">
        <f>IF($N188="","",$N188-$O188)</f>
        <v/>
      </c>
      <c r="Q188" s="25" t="n"/>
      <c r="R188" s="25" t="n"/>
      <c r="S188" s="27" t="n"/>
      <c r="T188" s="26" t="n"/>
    </row>
    <row r="189">
      <c r="A189" s="25" t="n"/>
      <c r="B189" s="25" t="n"/>
      <c r="C189" s="25" t="n"/>
      <c r="D189" s="26" t="n"/>
      <c r="E189" s="25" t="n"/>
      <c r="F189" s="26" t="n"/>
      <c r="G189" s="27" t="n"/>
      <c r="H189" s="27" t="n"/>
      <c r="I189" s="28">
        <f>IF(OR($G189="",$H189=""),"",$H189-$G189)</f>
        <v/>
      </c>
      <c r="J189" s="29" t="n"/>
      <c r="K189" s="30" t="n"/>
      <c r="L189" s="31">
        <f>IF(OR($K189="",$I189=""),"",$K189*$I189)</f>
        <v/>
      </c>
      <c r="M189" s="31">
        <f>IF($L189="","",IF(OR($C189="Airbnb",$C189="Booking"),$L189*$F$3,0))</f>
        <v/>
      </c>
      <c r="N189" s="31">
        <f>IF($L189="","",$L189-$M189)</f>
        <v/>
      </c>
      <c r="O189" s="31">
        <f>IF($N189="","",$N189*IFERROR(INDEX(Biens!$I$5:$I$14,MATCH($B189,Biens!$A$5:$A$14,0)),0.2))</f>
        <v/>
      </c>
      <c r="P189" s="32">
        <f>IF($N189="","",$N189-$O189)</f>
        <v/>
      </c>
      <c r="Q189" s="25" t="n"/>
      <c r="R189" s="25" t="n"/>
      <c r="S189" s="27" t="n"/>
      <c r="T189" s="26" t="n"/>
    </row>
    <row r="190">
      <c r="A190" s="25" t="n"/>
      <c r="B190" s="25" t="n"/>
      <c r="C190" s="25" t="n"/>
      <c r="D190" s="26" t="n"/>
      <c r="E190" s="25" t="n"/>
      <c r="F190" s="26" t="n"/>
      <c r="G190" s="27" t="n"/>
      <c r="H190" s="27" t="n"/>
      <c r="I190" s="28">
        <f>IF(OR($G190="",$H190=""),"",$H190-$G190)</f>
        <v/>
      </c>
      <c r="J190" s="29" t="n"/>
      <c r="K190" s="30" t="n"/>
      <c r="L190" s="31">
        <f>IF(OR($K190="",$I190=""),"",$K190*$I190)</f>
        <v/>
      </c>
      <c r="M190" s="31">
        <f>IF($L190="","",IF(OR($C190="Airbnb",$C190="Booking"),$L190*$F$3,0))</f>
        <v/>
      </c>
      <c r="N190" s="31">
        <f>IF($L190="","",$L190-$M190)</f>
        <v/>
      </c>
      <c r="O190" s="31">
        <f>IF($N190="","",$N190*IFERROR(INDEX(Biens!$I$5:$I$14,MATCH($B190,Biens!$A$5:$A$14,0)),0.2))</f>
        <v/>
      </c>
      <c r="P190" s="32">
        <f>IF($N190="","",$N190-$O190)</f>
        <v/>
      </c>
      <c r="Q190" s="25" t="n"/>
      <c r="R190" s="25" t="n"/>
      <c r="S190" s="27" t="n"/>
      <c r="T190" s="26" t="n"/>
    </row>
    <row r="191">
      <c r="A191" s="25" t="n"/>
      <c r="B191" s="25" t="n"/>
      <c r="C191" s="25" t="n"/>
      <c r="D191" s="26" t="n"/>
      <c r="E191" s="25" t="n"/>
      <c r="F191" s="26" t="n"/>
      <c r="G191" s="27" t="n"/>
      <c r="H191" s="27" t="n"/>
      <c r="I191" s="28">
        <f>IF(OR($G191="",$H191=""),"",$H191-$G191)</f>
        <v/>
      </c>
      <c r="J191" s="29" t="n"/>
      <c r="K191" s="30" t="n"/>
      <c r="L191" s="31">
        <f>IF(OR($K191="",$I191=""),"",$K191*$I191)</f>
        <v/>
      </c>
      <c r="M191" s="31">
        <f>IF($L191="","",IF(OR($C191="Airbnb",$C191="Booking"),$L191*$F$3,0))</f>
        <v/>
      </c>
      <c r="N191" s="31">
        <f>IF($L191="","",$L191-$M191)</f>
        <v/>
      </c>
      <c r="O191" s="31">
        <f>IF($N191="","",$N191*IFERROR(INDEX(Biens!$I$5:$I$14,MATCH($B191,Biens!$A$5:$A$14,0)),0.2))</f>
        <v/>
      </c>
      <c r="P191" s="32">
        <f>IF($N191="","",$N191-$O191)</f>
        <v/>
      </c>
      <c r="Q191" s="25" t="n"/>
      <c r="R191" s="25" t="n"/>
      <c r="S191" s="27" t="n"/>
      <c r="T191" s="26" t="n"/>
    </row>
    <row r="192">
      <c r="A192" s="25" t="n"/>
      <c r="B192" s="25" t="n"/>
      <c r="C192" s="25" t="n"/>
      <c r="D192" s="26" t="n"/>
      <c r="E192" s="25" t="n"/>
      <c r="F192" s="26" t="n"/>
      <c r="G192" s="27" t="n"/>
      <c r="H192" s="27" t="n"/>
      <c r="I192" s="28">
        <f>IF(OR($G192="",$H192=""),"",$H192-$G192)</f>
        <v/>
      </c>
      <c r="J192" s="29" t="n"/>
      <c r="K192" s="30" t="n"/>
      <c r="L192" s="31">
        <f>IF(OR($K192="",$I192=""),"",$K192*$I192)</f>
        <v/>
      </c>
      <c r="M192" s="31">
        <f>IF($L192="","",IF(OR($C192="Airbnb",$C192="Booking"),$L192*$F$3,0))</f>
        <v/>
      </c>
      <c r="N192" s="31">
        <f>IF($L192="","",$L192-$M192)</f>
        <v/>
      </c>
      <c r="O192" s="31">
        <f>IF($N192="","",$N192*IFERROR(INDEX(Biens!$I$5:$I$14,MATCH($B192,Biens!$A$5:$A$14,0)),0.2))</f>
        <v/>
      </c>
      <c r="P192" s="32">
        <f>IF($N192="","",$N192-$O192)</f>
        <v/>
      </c>
      <c r="Q192" s="25" t="n"/>
      <c r="R192" s="25" t="n"/>
      <c r="S192" s="27" t="n"/>
      <c r="T192" s="26" t="n"/>
    </row>
    <row r="193">
      <c r="A193" s="25" t="n"/>
      <c r="B193" s="25" t="n"/>
      <c r="C193" s="25" t="n"/>
      <c r="D193" s="26" t="n"/>
      <c r="E193" s="25" t="n"/>
      <c r="F193" s="26" t="n"/>
      <c r="G193" s="27" t="n"/>
      <c r="H193" s="27" t="n"/>
      <c r="I193" s="28">
        <f>IF(OR($G193="",$H193=""),"",$H193-$G193)</f>
        <v/>
      </c>
      <c r="J193" s="29" t="n"/>
      <c r="K193" s="30" t="n"/>
      <c r="L193" s="31">
        <f>IF(OR($K193="",$I193=""),"",$K193*$I193)</f>
        <v/>
      </c>
      <c r="M193" s="31">
        <f>IF($L193="","",IF(OR($C193="Airbnb",$C193="Booking"),$L193*$F$3,0))</f>
        <v/>
      </c>
      <c r="N193" s="31">
        <f>IF($L193="","",$L193-$M193)</f>
        <v/>
      </c>
      <c r="O193" s="31">
        <f>IF($N193="","",$N193*IFERROR(INDEX(Biens!$I$5:$I$14,MATCH($B193,Biens!$A$5:$A$14,0)),0.2))</f>
        <v/>
      </c>
      <c r="P193" s="32">
        <f>IF($N193="","",$N193-$O193)</f>
        <v/>
      </c>
      <c r="Q193" s="25" t="n"/>
      <c r="R193" s="25" t="n"/>
      <c r="S193" s="27" t="n"/>
      <c r="T193" s="26" t="n"/>
    </row>
    <row r="194">
      <c r="A194" s="25" t="n"/>
      <c r="B194" s="25" t="n"/>
      <c r="C194" s="25" t="n"/>
      <c r="D194" s="26" t="n"/>
      <c r="E194" s="25" t="n"/>
      <c r="F194" s="26" t="n"/>
      <c r="G194" s="27" t="n"/>
      <c r="H194" s="27" t="n"/>
      <c r="I194" s="28">
        <f>IF(OR($G194="",$H194=""),"",$H194-$G194)</f>
        <v/>
      </c>
      <c r="J194" s="29" t="n"/>
      <c r="K194" s="30" t="n"/>
      <c r="L194" s="31">
        <f>IF(OR($K194="",$I194=""),"",$K194*$I194)</f>
        <v/>
      </c>
      <c r="M194" s="31">
        <f>IF($L194="","",IF(OR($C194="Airbnb",$C194="Booking"),$L194*$F$3,0))</f>
        <v/>
      </c>
      <c r="N194" s="31">
        <f>IF($L194="","",$L194-$M194)</f>
        <v/>
      </c>
      <c r="O194" s="31">
        <f>IF($N194="","",$N194*IFERROR(INDEX(Biens!$I$5:$I$14,MATCH($B194,Biens!$A$5:$A$14,0)),0.2))</f>
        <v/>
      </c>
      <c r="P194" s="32">
        <f>IF($N194="","",$N194-$O194)</f>
        <v/>
      </c>
      <c r="Q194" s="25" t="n"/>
      <c r="R194" s="25" t="n"/>
      <c r="S194" s="27" t="n"/>
      <c r="T194" s="26" t="n"/>
    </row>
    <row r="195">
      <c r="A195" s="25" t="n"/>
      <c r="B195" s="25" t="n"/>
      <c r="C195" s="25" t="n"/>
      <c r="D195" s="26" t="n"/>
      <c r="E195" s="25" t="n"/>
      <c r="F195" s="26" t="n"/>
      <c r="G195" s="27" t="n"/>
      <c r="H195" s="27" t="n"/>
      <c r="I195" s="28">
        <f>IF(OR($G195="",$H195=""),"",$H195-$G195)</f>
        <v/>
      </c>
      <c r="J195" s="29" t="n"/>
      <c r="K195" s="30" t="n"/>
      <c r="L195" s="31">
        <f>IF(OR($K195="",$I195=""),"",$K195*$I195)</f>
        <v/>
      </c>
      <c r="M195" s="31">
        <f>IF($L195="","",IF(OR($C195="Airbnb",$C195="Booking"),$L195*$F$3,0))</f>
        <v/>
      </c>
      <c r="N195" s="31">
        <f>IF($L195="","",$L195-$M195)</f>
        <v/>
      </c>
      <c r="O195" s="31">
        <f>IF($N195="","",$N195*IFERROR(INDEX(Biens!$I$5:$I$14,MATCH($B195,Biens!$A$5:$A$14,0)),0.2))</f>
        <v/>
      </c>
      <c r="P195" s="32">
        <f>IF($N195="","",$N195-$O195)</f>
        <v/>
      </c>
      <c r="Q195" s="25" t="n"/>
      <c r="R195" s="25" t="n"/>
      <c r="S195" s="27" t="n"/>
      <c r="T195" s="26" t="n"/>
    </row>
    <row r="196">
      <c r="A196" s="25" t="n"/>
      <c r="B196" s="25" t="n"/>
      <c r="C196" s="25" t="n"/>
      <c r="D196" s="26" t="n"/>
      <c r="E196" s="25" t="n"/>
      <c r="F196" s="26" t="n"/>
      <c r="G196" s="27" t="n"/>
      <c r="H196" s="27" t="n"/>
      <c r="I196" s="28">
        <f>IF(OR($G196="",$H196=""),"",$H196-$G196)</f>
        <v/>
      </c>
      <c r="J196" s="29" t="n"/>
      <c r="K196" s="30" t="n"/>
      <c r="L196" s="31">
        <f>IF(OR($K196="",$I196=""),"",$K196*$I196)</f>
        <v/>
      </c>
      <c r="M196" s="31">
        <f>IF($L196="","",IF(OR($C196="Airbnb",$C196="Booking"),$L196*$F$3,0))</f>
        <v/>
      </c>
      <c r="N196" s="31">
        <f>IF($L196="","",$L196-$M196)</f>
        <v/>
      </c>
      <c r="O196" s="31">
        <f>IF($N196="","",$N196*IFERROR(INDEX(Biens!$I$5:$I$14,MATCH($B196,Biens!$A$5:$A$14,0)),0.2))</f>
        <v/>
      </c>
      <c r="P196" s="32">
        <f>IF($N196="","",$N196-$O196)</f>
        <v/>
      </c>
      <c r="Q196" s="25" t="n"/>
      <c r="R196" s="25" t="n"/>
      <c r="S196" s="27" t="n"/>
      <c r="T196" s="26" t="n"/>
    </row>
    <row r="197">
      <c r="A197" s="25" t="n"/>
      <c r="B197" s="25" t="n"/>
      <c r="C197" s="25" t="n"/>
      <c r="D197" s="26" t="n"/>
      <c r="E197" s="25" t="n"/>
      <c r="F197" s="26" t="n"/>
      <c r="G197" s="27" t="n"/>
      <c r="H197" s="27" t="n"/>
      <c r="I197" s="28">
        <f>IF(OR($G197="",$H197=""),"",$H197-$G197)</f>
        <v/>
      </c>
      <c r="J197" s="29" t="n"/>
      <c r="K197" s="30" t="n"/>
      <c r="L197" s="31">
        <f>IF(OR($K197="",$I197=""),"",$K197*$I197)</f>
        <v/>
      </c>
      <c r="M197" s="31">
        <f>IF($L197="","",IF(OR($C197="Airbnb",$C197="Booking"),$L197*$F$3,0))</f>
        <v/>
      </c>
      <c r="N197" s="31">
        <f>IF($L197="","",$L197-$M197)</f>
        <v/>
      </c>
      <c r="O197" s="31">
        <f>IF($N197="","",$N197*IFERROR(INDEX(Biens!$I$5:$I$14,MATCH($B197,Biens!$A$5:$A$14,0)),0.2))</f>
        <v/>
      </c>
      <c r="P197" s="32">
        <f>IF($N197="","",$N197-$O197)</f>
        <v/>
      </c>
      <c r="Q197" s="25" t="n"/>
      <c r="R197" s="25" t="n"/>
      <c r="S197" s="27" t="n"/>
      <c r="T197" s="26" t="n"/>
    </row>
    <row r="198">
      <c r="A198" s="25" t="n"/>
      <c r="B198" s="25" t="n"/>
      <c r="C198" s="25" t="n"/>
      <c r="D198" s="26" t="n"/>
      <c r="E198" s="25" t="n"/>
      <c r="F198" s="26" t="n"/>
      <c r="G198" s="27" t="n"/>
      <c r="H198" s="27" t="n"/>
      <c r="I198" s="28">
        <f>IF(OR($G198="",$H198=""),"",$H198-$G198)</f>
        <v/>
      </c>
      <c r="J198" s="29" t="n"/>
      <c r="K198" s="30" t="n"/>
      <c r="L198" s="31">
        <f>IF(OR($K198="",$I198=""),"",$K198*$I198)</f>
        <v/>
      </c>
      <c r="M198" s="31">
        <f>IF($L198="","",IF(OR($C198="Airbnb",$C198="Booking"),$L198*$F$3,0))</f>
        <v/>
      </c>
      <c r="N198" s="31">
        <f>IF($L198="","",$L198-$M198)</f>
        <v/>
      </c>
      <c r="O198" s="31">
        <f>IF($N198="","",$N198*IFERROR(INDEX(Biens!$I$5:$I$14,MATCH($B198,Biens!$A$5:$A$14,0)),0.2))</f>
        <v/>
      </c>
      <c r="P198" s="32">
        <f>IF($N198="","",$N198-$O198)</f>
        <v/>
      </c>
      <c r="Q198" s="25" t="n"/>
      <c r="R198" s="25" t="n"/>
      <c r="S198" s="27" t="n"/>
      <c r="T198" s="26" t="n"/>
    </row>
    <row r="199">
      <c r="A199" s="25" t="n"/>
      <c r="B199" s="25" t="n"/>
      <c r="C199" s="25" t="n"/>
      <c r="D199" s="26" t="n"/>
      <c r="E199" s="25" t="n"/>
      <c r="F199" s="26" t="n"/>
      <c r="G199" s="27" t="n"/>
      <c r="H199" s="27" t="n"/>
      <c r="I199" s="28">
        <f>IF(OR($G199="",$H199=""),"",$H199-$G199)</f>
        <v/>
      </c>
      <c r="J199" s="29" t="n"/>
      <c r="K199" s="30" t="n"/>
      <c r="L199" s="31">
        <f>IF(OR($K199="",$I199=""),"",$K199*$I199)</f>
        <v/>
      </c>
      <c r="M199" s="31">
        <f>IF($L199="","",IF(OR($C199="Airbnb",$C199="Booking"),$L199*$F$3,0))</f>
        <v/>
      </c>
      <c r="N199" s="31">
        <f>IF($L199="","",$L199-$M199)</f>
        <v/>
      </c>
      <c r="O199" s="31">
        <f>IF($N199="","",$N199*IFERROR(INDEX(Biens!$I$5:$I$14,MATCH($B199,Biens!$A$5:$A$14,0)),0.2))</f>
        <v/>
      </c>
      <c r="P199" s="32">
        <f>IF($N199="","",$N199-$O199)</f>
        <v/>
      </c>
      <c r="Q199" s="25" t="n"/>
      <c r="R199" s="25" t="n"/>
      <c r="S199" s="27" t="n"/>
      <c r="T199" s="26" t="n"/>
    </row>
    <row r="200">
      <c r="A200" s="25" t="n"/>
      <c r="B200" s="25" t="n"/>
      <c r="C200" s="25" t="n"/>
      <c r="D200" s="26" t="n"/>
      <c r="E200" s="25" t="n"/>
      <c r="F200" s="26" t="n"/>
      <c r="G200" s="27" t="n"/>
      <c r="H200" s="27" t="n"/>
      <c r="I200" s="28">
        <f>IF(OR($G200="",$H200=""),"",$H200-$G200)</f>
        <v/>
      </c>
      <c r="J200" s="29" t="n"/>
      <c r="K200" s="30" t="n"/>
      <c r="L200" s="31">
        <f>IF(OR($K200="",$I200=""),"",$K200*$I200)</f>
        <v/>
      </c>
      <c r="M200" s="31">
        <f>IF($L200="","",IF(OR($C200="Airbnb",$C200="Booking"),$L200*$F$3,0))</f>
        <v/>
      </c>
      <c r="N200" s="31">
        <f>IF($L200="","",$L200-$M200)</f>
        <v/>
      </c>
      <c r="O200" s="31">
        <f>IF($N200="","",$N200*IFERROR(INDEX(Biens!$I$5:$I$14,MATCH($B200,Biens!$A$5:$A$14,0)),0.2))</f>
        <v/>
      </c>
      <c r="P200" s="32">
        <f>IF($N200="","",$N200-$O200)</f>
        <v/>
      </c>
      <c r="Q200" s="25" t="n"/>
      <c r="R200" s="25" t="n"/>
      <c r="S200" s="27" t="n"/>
      <c r="T200" s="26" t="n"/>
    </row>
    <row r="201">
      <c r="A201" s="25" t="n"/>
      <c r="B201" s="25" t="n"/>
      <c r="C201" s="25" t="n"/>
      <c r="D201" s="26" t="n"/>
      <c r="E201" s="25" t="n"/>
      <c r="F201" s="26" t="n"/>
      <c r="G201" s="27" t="n"/>
      <c r="H201" s="27" t="n"/>
      <c r="I201" s="28">
        <f>IF(OR($G201="",$H201=""),"",$H201-$G201)</f>
        <v/>
      </c>
      <c r="J201" s="29" t="n"/>
      <c r="K201" s="30" t="n"/>
      <c r="L201" s="31">
        <f>IF(OR($K201="",$I201=""),"",$K201*$I201)</f>
        <v/>
      </c>
      <c r="M201" s="31">
        <f>IF($L201="","",IF(OR($C201="Airbnb",$C201="Booking"),$L201*$F$3,0))</f>
        <v/>
      </c>
      <c r="N201" s="31">
        <f>IF($L201="","",$L201-$M201)</f>
        <v/>
      </c>
      <c r="O201" s="31">
        <f>IF($N201="","",$N201*IFERROR(INDEX(Biens!$I$5:$I$14,MATCH($B201,Biens!$A$5:$A$14,0)),0.2))</f>
        <v/>
      </c>
      <c r="P201" s="32">
        <f>IF($N201="","",$N201-$O201)</f>
        <v/>
      </c>
      <c r="Q201" s="25" t="n"/>
      <c r="R201" s="25" t="n"/>
      <c r="S201" s="27" t="n"/>
      <c r="T201" s="26" t="n"/>
    </row>
    <row r="202">
      <c r="A202" s="25" t="n"/>
      <c r="B202" s="25" t="n"/>
      <c r="C202" s="25" t="n"/>
      <c r="D202" s="26" t="n"/>
      <c r="E202" s="25" t="n"/>
      <c r="F202" s="26" t="n"/>
      <c r="G202" s="27" t="n"/>
      <c r="H202" s="27" t="n"/>
      <c r="I202" s="28">
        <f>IF(OR($G202="",$H202=""),"",$H202-$G202)</f>
        <v/>
      </c>
      <c r="J202" s="29" t="n"/>
      <c r="K202" s="30" t="n"/>
      <c r="L202" s="31">
        <f>IF(OR($K202="",$I202=""),"",$K202*$I202)</f>
        <v/>
      </c>
      <c r="M202" s="31">
        <f>IF($L202="","",IF(OR($C202="Airbnb",$C202="Booking"),$L202*$F$3,0))</f>
        <v/>
      </c>
      <c r="N202" s="31">
        <f>IF($L202="","",$L202-$M202)</f>
        <v/>
      </c>
      <c r="O202" s="31">
        <f>IF($N202="","",$N202*IFERROR(INDEX(Biens!$I$5:$I$14,MATCH($B202,Biens!$A$5:$A$14,0)),0.2))</f>
        <v/>
      </c>
      <c r="P202" s="32">
        <f>IF($N202="","",$N202-$O202)</f>
        <v/>
      </c>
      <c r="Q202" s="25" t="n"/>
      <c r="R202" s="25" t="n"/>
      <c r="S202" s="27" t="n"/>
      <c r="T202" s="26" t="n"/>
    </row>
    <row r="203">
      <c r="A203" s="25" t="n"/>
      <c r="B203" s="25" t="n"/>
      <c r="C203" s="25" t="n"/>
      <c r="D203" s="26" t="n"/>
      <c r="E203" s="25" t="n"/>
      <c r="F203" s="26" t="n"/>
      <c r="G203" s="27" t="n"/>
      <c r="H203" s="27" t="n"/>
      <c r="I203" s="28">
        <f>IF(OR($G203="",$H203=""),"",$H203-$G203)</f>
        <v/>
      </c>
      <c r="J203" s="29" t="n"/>
      <c r="K203" s="30" t="n"/>
      <c r="L203" s="31">
        <f>IF(OR($K203="",$I203=""),"",$K203*$I203)</f>
        <v/>
      </c>
      <c r="M203" s="31">
        <f>IF($L203="","",IF(OR($C203="Airbnb",$C203="Booking"),$L203*$F$3,0))</f>
        <v/>
      </c>
      <c r="N203" s="31">
        <f>IF($L203="","",$L203-$M203)</f>
        <v/>
      </c>
      <c r="O203" s="31">
        <f>IF($N203="","",$N203*IFERROR(INDEX(Biens!$I$5:$I$14,MATCH($B203,Biens!$A$5:$A$14,0)),0.2))</f>
        <v/>
      </c>
      <c r="P203" s="32">
        <f>IF($N203="","",$N203-$O203)</f>
        <v/>
      </c>
      <c r="Q203" s="25" t="n"/>
      <c r="R203" s="25" t="n"/>
      <c r="S203" s="27" t="n"/>
      <c r="T203" s="26" t="n"/>
    </row>
    <row r="204">
      <c r="A204" s="25" t="n"/>
      <c r="B204" s="25" t="n"/>
      <c r="C204" s="25" t="n"/>
      <c r="D204" s="26" t="n"/>
      <c r="E204" s="25" t="n"/>
      <c r="F204" s="26" t="n"/>
      <c r="G204" s="27" t="n"/>
      <c r="H204" s="27" t="n"/>
      <c r="I204" s="28">
        <f>IF(OR($G204="",$H204=""),"",$H204-$G204)</f>
        <v/>
      </c>
      <c r="J204" s="29" t="n"/>
      <c r="K204" s="30" t="n"/>
      <c r="L204" s="31">
        <f>IF(OR($K204="",$I204=""),"",$K204*$I204)</f>
        <v/>
      </c>
      <c r="M204" s="31">
        <f>IF($L204="","",IF(OR($C204="Airbnb",$C204="Booking"),$L204*$F$3,0))</f>
        <v/>
      </c>
      <c r="N204" s="31">
        <f>IF($L204="","",$L204-$M204)</f>
        <v/>
      </c>
      <c r="O204" s="31">
        <f>IF($N204="","",$N204*IFERROR(INDEX(Biens!$I$5:$I$14,MATCH($B204,Biens!$A$5:$A$14,0)),0.2))</f>
        <v/>
      </c>
      <c r="P204" s="32">
        <f>IF($N204="","",$N204-$O204)</f>
        <v/>
      </c>
      <c r="Q204" s="25" t="n"/>
      <c r="R204" s="25" t="n"/>
      <c r="S204" s="27" t="n"/>
      <c r="T204" s="2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7B6"/>
  <autoFilter ref="A4:T204"/>
  <mergeCells count="4">
    <mergeCell ref="A1:B2"/>
    <mergeCell ref="C1:T1"/>
    <mergeCell ref="C2:T2"/>
    <mergeCell ref="A3:E3"/>
  </mergeCells>
  <conditionalFormatting sqref="A5:T204">
    <cfRule type="expression" priority="1" dxfId="3">
      <formula>AND($G5=TODAY(),$B5&lt;&gt;"")</formula>
    </cfRule>
  </conditionalFormatting>
  <conditionalFormatting sqref="R5:R204">
    <cfRule type="cellIs" priority="2" operator="equal" dxfId="0">
      <formula>"Non payé"</formula>
    </cfRule>
    <cfRule type="cellIs" priority="3" operator="equal" dxfId="4">
      <formula>"Partiel"</formula>
    </cfRule>
    <cfRule type="cellIs" priority="4" operator="equal" dxfId="5">
      <formula>"Payé"</formula>
    </cfRule>
  </conditionalFormatting>
  <conditionalFormatting sqref="Q5:Q204">
    <cfRule type="cellIs" priority="5" operator="equal" dxfId="6">
      <formula>"Annulée"</formula>
    </cfRule>
  </conditionalFormatting>
  <dataValidations count="4">
    <dataValidation sqref="B5:B204" showDropDown="0" showInputMessage="0" showErrorMessage="0" allowBlank="1" type="list">
      <formula1>=Liste_Biens</formula1>
    </dataValidation>
    <dataValidation sqref="C5:C204" showDropDown="0" showInputMessage="0" showErrorMessage="0" allowBlank="1" type="list">
      <formula1>=Liste_Plateformes</formula1>
    </dataValidation>
    <dataValidation sqref="Q5:Q204" showDropDown="0" showInputMessage="0" showErrorMessage="0" allowBlank="1" type="list">
      <formula1>=Liste_StatutResa</formula1>
    </dataValidation>
    <dataValidation sqref="R5:R204" showDropDown="0" showInputMessage="0" showErrorMessage="0" allowBlank="1" type="list">
      <formula1>=Liste_StatutPaiement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D4AF37"/>
    <outlinePr summaryBelow="1" summaryRight="1"/>
    <pageSetUpPr/>
  </sheetPr>
  <dimension ref="A1:L14"/>
  <sheetViews>
    <sheetView showGridLines="0" tabSelected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4" customWidth="1" min="4" max="4"/>
    <col width="18" customWidth="1" min="5" max="5"/>
    <col width="11" customWidth="1" min="6" max="6"/>
    <col width="11" customWidth="1" min="7" max="7"/>
    <col width="9" customWidth="1" min="8" max="8"/>
    <col width="11" customWidth="1" min="9" max="9"/>
    <col width="13" customWidth="1" min="10" max="10"/>
    <col width="13" customWidth="1" min="11" max="11"/>
    <col width="22" customWidth="1" min="12" max="12"/>
  </cols>
  <sheetData>
    <row r="1" ht="30" customHeight="1">
      <c r="A1" s="1" t="inlineStr">
        <is>
          <t>MG
HÔTE</t>
        </is>
      </c>
      <c r="C1" s="2" t="inlineStr">
        <is>
          <t>GESTION DES BIENS</t>
        </is>
      </c>
    </row>
    <row r="2" ht="20" customHeight="1">
      <c r="C2" s="3" t="inlineStr">
        <is>
          <t>Liste des biens gérés par MG Hôte</t>
        </is>
      </c>
    </row>
    <row r="3" ht="6" customHeight="1"/>
    <row r="4" ht="30" customHeight="1">
      <c r="A4" s="9" t="inlineStr">
        <is>
          <t>Bien</t>
        </is>
      </c>
      <c r="B4" s="9" t="inlineStr">
        <is>
          <t>Type</t>
        </is>
      </c>
      <c r="C4" s="9" t="inlineStr">
        <is>
          <t>Adresse</t>
        </is>
      </c>
      <c r="D4" s="9" t="inlineStr">
        <is>
          <t>Ville</t>
        </is>
      </c>
      <c r="E4" s="9" t="inlineStr">
        <is>
          <t>Propriétaire</t>
        </is>
      </c>
      <c r="F4" s="9" t="inlineStr">
        <is>
          <t>Capacité (pers.)</t>
        </is>
      </c>
      <c r="G4" s="9" t="inlineStr">
        <is>
          <t>Nb chambres</t>
        </is>
      </c>
      <c r="H4" s="9" t="inlineStr">
        <is>
          <t>Statut</t>
        </is>
      </c>
      <c r="I4" s="9" t="inlineStr">
        <is>
          <t>Commission MG Hôte (%)</t>
        </is>
      </c>
      <c r="J4" s="9" t="inlineStr">
        <is>
          <t>Prix moyen nuitée indicatif (MAD)</t>
        </is>
      </c>
      <c r="K4" s="9" t="inlineStr">
        <is>
          <t>Date début gestion</t>
        </is>
      </c>
      <c r="L4" s="9" t="inlineStr">
        <is>
          <t>Notes</t>
        </is>
      </c>
    </row>
    <row r="5">
      <c r="A5" s="25" t="inlineStr">
        <is>
          <t>Bien 1</t>
        </is>
      </c>
      <c r="B5" s="25" t="n"/>
      <c r="C5" s="26" t="n"/>
      <c r="D5" s="25" t="n"/>
      <c r="E5" s="26" t="n"/>
      <c r="F5" s="29" t="n"/>
      <c r="G5" s="29" t="n"/>
      <c r="H5" s="25" t="inlineStr">
        <is>
          <t>Actif</t>
        </is>
      </c>
      <c r="I5" s="24" t="n">
        <v>0.2</v>
      </c>
      <c r="J5" s="30" t="n"/>
      <c r="K5" s="27" t="n"/>
      <c r="L5" s="26" t="n"/>
    </row>
    <row r="6">
      <c r="A6" s="25" t="n"/>
      <c r="B6" s="25" t="n"/>
      <c r="C6" s="26" t="n"/>
      <c r="D6" s="25" t="n"/>
      <c r="E6" s="26" t="n"/>
      <c r="F6" s="29" t="n"/>
      <c r="G6" s="29" t="n"/>
      <c r="H6" s="25" t="n"/>
      <c r="I6" s="24" t="n"/>
      <c r="J6" s="30" t="n"/>
      <c r="K6" s="27" t="n"/>
      <c r="L6" s="26" t="n"/>
    </row>
    <row r="7">
      <c r="A7" s="25" t="n"/>
      <c r="B7" s="25" t="n"/>
      <c r="C7" s="26" t="n"/>
      <c r="D7" s="25" t="n"/>
      <c r="E7" s="26" t="n"/>
      <c r="F7" s="29" t="n"/>
      <c r="G7" s="29" t="n"/>
      <c r="H7" s="25" t="n"/>
      <c r="I7" s="24" t="n"/>
      <c r="J7" s="30" t="n"/>
      <c r="K7" s="27" t="n"/>
      <c r="L7" s="26" t="n"/>
    </row>
    <row r="8">
      <c r="A8" s="25" t="n"/>
      <c r="B8" s="25" t="n"/>
      <c r="C8" s="26" t="n"/>
      <c r="D8" s="25" t="n"/>
      <c r="E8" s="26" t="n"/>
      <c r="F8" s="29" t="n"/>
      <c r="G8" s="29" t="n"/>
      <c r="H8" s="25" t="n"/>
      <c r="I8" s="24" t="n"/>
      <c r="J8" s="30" t="n"/>
      <c r="K8" s="27" t="n"/>
      <c r="L8" s="26" t="n"/>
    </row>
    <row r="9">
      <c r="A9" s="25" t="n"/>
      <c r="B9" s="25" t="n"/>
      <c r="C9" s="26" t="n"/>
      <c r="D9" s="25" t="n"/>
      <c r="E9" s="26" t="n"/>
      <c r="F9" s="29" t="n"/>
      <c r="G9" s="29" t="n"/>
      <c r="H9" s="25" t="n"/>
      <c r="I9" s="24" t="n"/>
      <c r="J9" s="30" t="n"/>
      <c r="K9" s="27" t="n"/>
      <c r="L9" s="26" t="n"/>
    </row>
    <row r="10">
      <c r="A10" s="25" t="n"/>
      <c r="B10" s="25" t="n"/>
      <c r="C10" s="26" t="n"/>
      <c r="D10" s="25" t="n"/>
      <c r="E10" s="26" t="n"/>
      <c r="F10" s="29" t="n"/>
      <c r="G10" s="29" t="n"/>
      <c r="H10" s="25" t="n"/>
      <c r="I10" s="24" t="n"/>
      <c r="J10" s="30" t="n"/>
      <c r="K10" s="27" t="n"/>
      <c r="L10" s="26" t="n"/>
    </row>
    <row r="11">
      <c r="A11" s="25" t="n"/>
      <c r="B11" s="25" t="n"/>
      <c r="C11" s="26" t="n"/>
      <c r="D11" s="25" t="n"/>
      <c r="E11" s="26" t="n"/>
      <c r="F11" s="29" t="n"/>
      <c r="G11" s="29" t="n"/>
      <c r="H11" s="25" t="n"/>
      <c r="I11" s="24" t="n"/>
      <c r="J11" s="30" t="n"/>
      <c r="K11" s="27" t="n"/>
      <c r="L11" s="26" t="n"/>
    </row>
    <row r="12">
      <c r="A12" s="25" t="n"/>
      <c r="B12" s="25" t="n"/>
      <c r="C12" s="26" t="n"/>
      <c r="D12" s="25" t="n"/>
      <c r="E12" s="26" t="n"/>
      <c r="F12" s="29" t="n"/>
      <c r="G12" s="29" t="n"/>
      <c r="H12" s="25" t="n"/>
      <c r="I12" s="24" t="n"/>
      <c r="J12" s="30" t="n"/>
      <c r="K12" s="27" t="n"/>
      <c r="L12" s="26" t="n"/>
    </row>
    <row r="13">
      <c r="A13" s="25" t="n"/>
      <c r="B13" s="25" t="n"/>
      <c r="C13" s="26" t="n"/>
      <c r="D13" s="25" t="n"/>
      <c r="E13" s="26" t="n"/>
      <c r="F13" s="29" t="n"/>
      <c r="G13" s="29" t="n"/>
      <c r="H13" s="25" t="n"/>
      <c r="I13" s="24" t="n"/>
      <c r="J13" s="30" t="n"/>
      <c r="K13" s="27" t="n"/>
      <c r="L13" s="26" t="n"/>
    </row>
    <row r="14">
      <c r="A14" s="25" t="n"/>
      <c r="B14" s="25" t="n"/>
      <c r="C14" s="26" t="n"/>
      <c r="D14" s="25" t="n"/>
      <c r="E14" s="26" t="n"/>
      <c r="F14" s="29" t="n"/>
      <c r="G14" s="29" t="n"/>
      <c r="H14" s="25" t="n"/>
      <c r="I14" s="24" t="n"/>
      <c r="J14" s="30" t="n"/>
      <c r="K14" s="27" t="n"/>
      <c r="L14" s="26" t="n"/>
    </row>
  </sheetData>
  <sheetProtection selectLockedCells="0" selectUnlockedCells="0" sheet="1" objects="0" insertRows="0" insertHyperlinks="1" autoFilter="0" scenarios="0" formatColumns="0" deleteColumns="1" insertColumns="1" pivotTables="1" deleteRows="1" formatCells="1" formatRows="0" sort="0" password="C7B6"/>
  <mergeCells count="3">
    <mergeCell ref="A1:B2"/>
    <mergeCell ref="C2:L2"/>
    <mergeCell ref="C1:L1"/>
  </mergeCells>
  <dataValidations count="2">
    <dataValidation sqref="B5:B14" showDropDown="0" showInputMessage="0" showErrorMessage="0" allowBlank="1" type="list">
      <formula1>=Liste_TypeBien</formula1>
    </dataValidation>
    <dataValidation sqref="H5:H14" showDropDown="0" showInputMessage="0" showErrorMessage="0" allowBlank="1" type="list">
      <formula1>=Liste_StatutBien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D4AF37"/>
    <outlinePr summaryBelow="1" summaryRight="1"/>
    <pageSetUpPr/>
  </sheetPr>
  <dimension ref="A1:J14"/>
  <sheetViews>
    <sheetView showGridLines="0" tabSelected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20" customWidth="1" min="4" max="4"/>
    <col width="22" customWidth="1" min="5" max="5"/>
    <col width="16" customWidth="1" min="6" max="6"/>
    <col width="14" customWidth="1" min="7" max="7"/>
    <col width="14" customWidth="1" min="8" max="8"/>
    <col width="16" customWidth="1" min="9" max="9"/>
    <col width="22" customWidth="1" min="10" max="10"/>
  </cols>
  <sheetData>
    <row r="1" ht="30" customHeight="1">
      <c r="A1" s="1" t="inlineStr">
        <is>
          <t>MG
HÔTE</t>
        </is>
      </c>
      <c r="C1" s="2" t="inlineStr">
        <is>
          <t>GESTION DES PROPRIÉTAIRES</t>
        </is>
      </c>
    </row>
    <row r="2" ht="20" customHeight="1">
      <c r="C2" s="3" t="inlineStr">
        <is>
          <t>Coordonnées, bien(s) géré(s) et suivi des versements</t>
        </is>
      </c>
    </row>
    <row r="3" ht="6" customHeight="1"/>
    <row r="4" ht="30" customHeight="1">
      <c r="A4" s="9" t="inlineStr">
        <is>
          <t>Nom du propriétaire</t>
        </is>
      </c>
      <c r="B4" s="9" t="inlineStr">
        <is>
          <t>Bien(s) géré(s)</t>
        </is>
      </c>
      <c r="C4" s="9" t="inlineStr">
        <is>
          <t>Téléphone</t>
        </is>
      </c>
      <c r="D4" s="9" t="inlineStr">
        <is>
          <t>Email</t>
        </is>
      </c>
      <c r="E4" s="9" t="inlineStr">
        <is>
          <t>Adresse</t>
        </is>
      </c>
      <c r="F4" s="9" t="inlineStr">
        <is>
          <t>RIB / IBAN</t>
        </is>
      </c>
      <c r="G4" s="9" t="inlineStr">
        <is>
          <t>Mode de paiement</t>
        </is>
      </c>
      <c r="H4" s="9" t="inlineStr">
        <is>
          <t>Date dernier versement</t>
        </is>
      </c>
      <c r="I4" s="9" t="inlineStr">
        <is>
          <t>Total versé à ce jour (MAD)</t>
        </is>
      </c>
      <c r="J4" s="9" t="inlineStr">
        <is>
          <t>Notes</t>
        </is>
      </c>
    </row>
    <row r="5">
      <c r="A5" s="26" t="n"/>
      <c r="B5" s="25" t="n"/>
      <c r="C5" s="25" t="n"/>
      <c r="D5" s="26" t="n"/>
      <c r="E5" s="26" t="n"/>
      <c r="F5" s="26" t="n"/>
      <c r="G5" s="25" t="n"/>
      <c r="H5" s="27" t="n"/>
      <c r="I5" s="31">
        <f>IF($B5="","",IFERROR(SUMIFS('Journal Financier'!$F$5:$F$304,'Journal Financier'!$B$5:$B$304,$B5,'Journal Financier'!$D$5:$D$304,"Reversement propriétaire"),0))</f>
        <v/>
      </c>
      <c r="J5" s="26" t="n"/>
    </row>
    <row r="6">
      <c r="A6" s="26" t="n"/>
      <c r="B6" s="25" t="n"/>
      <c r="C6" s="25" t="n"/>
      <c r="D6" s="26" t="n"/>
      <c r="E6" s="26" t="n"/>
      <c r="F6" s="26" t="n"/>
      <c r="G6" s="25" t="n"/>
      <c r="H6" s="27" t="n"/>
      <c r="I6" s="31">
        <f>IF($B6="","",IFERROR(SUMIFS('Journal Financier'!$F$5:$F$304,'Journal Financier'!$B$5:$B$304,$B6,'Journal Financier'!$D$5:$D$304,"Reversement propriétaire"),0))</f>
        <v/>
      </c>
      <c r="J6" s="26" t="n"/>
    </row>
    <row r="7">
      <c r="A7" s="26" t="n"/>
      <c r="B7" s="25" t="n"/>
      <c r="C7" s="25" t="n"/>
      <c r="D7" s="26" t="n"/>
      <c r="E7" s="26" t="n"/>
      <c r="F7" s="26" t="n"/>
      <c r="G7" s="25" t="n"/>
      <c r="H7" s="27" t="n"/>
      <c r="I7" s="31">
        <f>IF($B7="","",IFERROR(SUMIFS('Journal Financier'!$F$5:$F$304,'Journal Financier'!$B$5:$B$304,$B7,'Journal Financier'!$D$5:$D$304,"Reversement propriétaire"),0))</f>
        <v/>
      </c>
      <c r="J7" s="26" t="n"/>
    </row>
    <row r="8">
      <c r="A8" s="26" t="n"/>
      <c r="B8" s="25" t="n"/>
      <c r="C8" s="25" t="n"/>
      <c r="D8" s="26" t="n"/>
      <c r="E8" s="26" t="n"/>
      <c r="F8" s="26" t="n"/>
      <c r="G8" s="25" t="n"/>
      <c r="H8" s="27" t="n"/>
      <c r="I8" s="31">
        <f>IF($B8="","",IFERROR(SUMIFS('Journal Financier'!$F$5:$F$304,'Journal Financier'!$B$5:$B$304,$B8,'Journal Financier'!$D$5:$D$304,"Reversement propriétaire"),0))</f>
        <v/>
      </c>
      <c r="J8" s="26" t="n"/>
    </row>
    <row r="9">
      <c r="A9" s="26" t="n"/>
      <c r="B9" s="25" t="n"/>
      <c r="C9" s="25" t="n"/>
      <c r="D9" s="26" t="n"/>
      <c r="E9" s="26" t="n"/>
      <c r="F9" s="26" t="n"/>
      <c r="G9" s="25" t="n"/>
      <c r="H9" s="27" t="n"/>
      <c r="I9" s="31">
        <f>IF($B9="","",IFERROR(SUMIFS('Journal Financier'!$F$5:$F$304,'Journal Financier'!$B$5:$B$304,$B9,'Journal Financier'!$D$5:$D$304,"Reversement propriétaire"),0))</f>
        <v/>
      </c>
      <c r="J9" s="26" t="n"/>
    </row>
    <row r="10">
      <c r="A10" s="26" t="n"/>
      <c r="B10" s="25" t="n"/>
      <c r="C10" s="25" t="n"/>
      <c r="D10" s="26" t="n"/>
      <c r="E10" s="26" t="n"/>
      <c r="F10" s="26" t="n"/>
      <c r="G10" s="25" t="n"/>
      <c r="H10" s="27" t="n"/>
      <c r="I10" s="31">
        <f>IF($B10="","",IFERROR(SUMIFS('Journal Financier'!$F$5:$F$304,'Journal Financier'!$B$5:$B$304,$B10,'Journal Financier'!$D$5:$D$304,"Reversement propriétaire"),0))</f>
        <v/>
      </c>
      <c r="J10" s="26" t="n"/>
    </row>
    <row r="11">
      <c r="A11" s="26" t="n"/>
      <c r="B11" s="25" t="n"/>
      <c r="C11" s="25" t="n"/>
      <c r="D11" s="26" t="n"/>
      <c r="E11" s="26" t="n"/>
      <c r="F11" s="26" t="n"/>
      <c r="G11" s="25" t="n"/>
      <c r="H11" s="27" t="n"/>
      <c r="I11" s="31">
        <f>IF($B11="","",IFERROR(SUMIFS('Journal Financier'!$F$5:$F$304,'Journal Financier'!$B$5:$B$304,$B11,'Journal Financier'!$D$5:$D$304,"Reversement propriétaire"),0))</f>
        <v/>
      </c>
      <c r="J11" s="26" t="n"/>
    </row>
    <row r="12">
      <c r="A12" s="26" t="n"/>
      <c r="B12" s="25" t="n"/>
      <c r="C12" s="25" t="n"/>
      <c r="D12" s="26" t="n"/>
      <c r="E12" s="26" t="n"/>
      <c r="F12" s="26" t="n"/>
      <c r="G12" s="25" t="n"/>
      <c r="H12" s="27" t="n"/>
      <c r="I12" s="31">
        <f>IF($B12="","",IFERROR(SUMIFS('Journal Financier'!$F$5:$F$304,'Journal Financier'!$B$5:$B$304,$B12,'Journal Financier'!$D$5:$D$304,"Reversement propriétaire"),0))</f>
        <v/>
      </c>
      <c r="J12" s="26" t="n"/>
    </row>
    <row r="13">
      <c r="A13" s="26" t="n"/>
      <c r="B13" s="25" t="n"/>
      <c r="C13" s="25" t="n"/>
      <c r="D13" s="26" t="n"/>
      <c r="E13" s="26" t="n"/>
      <c r="F13" s="26" t="n"/>
      <c r="G13" s="25" t="n"/>
      <c r="H13" s="27" t="n"/>
      <c r="I13" s="31">
        <f>IF($B13="","",IFERROR(SUMIFS('Journal Financier'!$F$5:$F$304,'Journal Financier'!$B$5:$B$304,$B13,'Journal Financier'!$D$5:$D$304,"Reversement propriétaire"),0))</f>
        <v/>
      </c>
      <c r="J13" s="26" t="n"/>
    </row>
    <row r="14">
      <c r="A14" s="26" t="n"/>
      <c r="B14" s="25" t="n"/>
      <c r="C14" s="25" t="n"/>
      <c r="D14" s="26" t="n"/>
      <c r="E14" s="26" t="n"/>
      <c r="F14" s="26" t="n"/>
      <c r="G14" s="25" t="n"/>
      <c r="H14" s="27" t="n"/>
      <c r="I14" s="31">
        <f>IF($B14="","",IFERROR(SUMIFS('Journal Financier'!$F$5:$F$304,'Journal Financier'!$B$5:$B$304,$B14,'Journal Financier'!$D$5:$D$304,"Reversement propriétaire"),0))</f>
        <v/>
      </c>
      <c r="J14" s="26" t="n"/>
    </row>
  </sheetData>
  <sheetProtection selectLockedCells="0" selectUnlockedCells="0" sheet="1" objects="0" insertRows="0" insertHyperlinks="1" autoFilter="0" scenarios="0" formatColumns="0" deleteColumns="1" insertColumns="1" pivotTables="1" deleteRows="1" formatCells="1" formatRows="0" sort="0" password="C7B6"/>
  <mergeCells count="3">
    <mergeCell ref="A1:B2"/>
    <mergeCell ref="C1:J1"/>
    <mergeCell ref="C2:J2"/>
  </mergeCells>
  <dataValidations count="2">
    <dataValidation sqref="B5:B14" showDropDown="0" showInputMessage="0" showErrorMessage="0" allowBlank="1" type="list">
      <formula1>=Liste_Biens</formula1>
    </dataValidation>
    <dataValidation sqref="G5:G14" showDropDown="0" showInputMessage="0" showErrorMessage="0" allowBlank="1" type="list">
      <formula1>=Liste_ModePaiement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D4AF37"/>
    <outlinePr summaryBelow="1" summaryRight="1"/>
    <pageSetUpPr/>
  </sheetPr>
  <dimension ref="A1:J304"/>
  <sheetViews>
    <sheetView showGridLines="0" tabSelected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21" customWidth="1" min="4" max="4"/>
    <col width="28" customWidth="1" min="5" max="5"/>
    <col width="13" customWidth="1" min="6" max="6"/>
    <col width="14" customWidth="1" min="7" max="7"/>
    <col width="15" customWidth="1" min="8" max="8"/>
    <col width="14" customWidth="1" min="9" max="9"/>
    <col width="26" customWidth="1" min="10" max="10"/>
  </cols>
  <sheetData>
    <row r="1" ht="30" customHeight="1">
      <c r="A1" s="1" t="inlineStr">
        <is>
          <t>MG
HÔTE</t>
        </is>
      </c>
      <c r="C1" s="2" t="inlineStr">
        <is>
          <t>JOURNAL FINANCIER</t>
        </is>
      </c>
    </row>
    <row r="2" ht="20" customHeight="1">
      <c r="C2" s="3" t="inlineStr">
        <is>
          <t>Toutes les recettes et dépenses, une ligne par mouvement</t>
        </is>
      </c>
    </row>
    <row r="3" ht="6" customHeight="1"/>
    <row r="4" ht="30" customHeight="1">
      <c r="A4" s="9" t="inlineStr">
        <is>
          <t>Date</t>
        </is>
      </c>
      <c r="B4" s="9" t="inlineStr">
        <is>
          <t>Bien</t>
        </is>
      </c>
      <c r="C4" s="9" t="inlineStr">
        <is>
          <t>Type</t>
        </is>
      </c>
      <c r="D4" s="9" t="inlineStr">
        <is>
          <t>Catégorie</t>
        </is>
      </c>
      <c r="E4" s="9" t="inlineStr">
        <is>
          <t>Description</t>
        </is>
      </c>
      <c r="F4" s="9" t="inlineStr">
        <is>
          <t>Montant (MAD)</t>
        </is>
      </c>
      <c r="G4" s="9" t="inlineStr">
        <is>
          <t>Montant signé (MAD)</t>
        </is>
      </c>
      <c r="H4" s="9" t="inlineStr">
        <is>
          <t>Mode de paiement</t>
        </is>
      </c>
      <c r="I4" s="9" t="inlineStr">
        <is>
          <t>Réservation liée</t>
        </is>
      </c>
      <c r="J4" s="9" t="inlineStr">
        <is>
          <t>Justificatif / Notes</t>
        </is>
      </c>
    </row>
    <row r="5">
      <c r="A5" s="27" t="n"/>
      <c r="B5" s="25" t="n"/>
      <c r="C5" s="25" t="n"/>
      <c r="D5" s="25" t="n"/>
      <c r="E5" s="26" t="n"/>
      <c r="F5" s="30" t="n"/>
      <c r="G5" s="31">
        <f>IF($F5="","",IF($C5="Recette",$F5,-$F5))</f>
        <v/>
      </c>
      <c r="H5" s="25" t="n"/>
      <c r="I5" s="25" t="n"/>
      <c r="J5" s="26" t="n"/>
    </row>
    <row r="6">
      <c r="A6" s="27" t="n"/>
      <c r="B6" s="25" t="n"/>
      <c r="C6" s="25" t="n"/>
      <c r="D6" s="25" t="n"/>
      <c r="E6" s="26" t="n"/>
      <c r="F6" s="30" t="n"/>
      <c r="G6" s="31">
        <f>IF($F6="","",IF($C6="Recette",$F6,-$F6))</f>
        <v/>
      </c>
      <c r="H6" s="25" t="n"/>
      <c r="I6" s="25" t="n"/>
      <c r="J6" s="26" t="n"/>
    </row>
    <row r="7">
      <c r="A7" s="27" t="n"/>
      <c r="B7" s="25" t="n"/>
      <c r="C7" s="25" t="n"/>
      <c r="D7" s="25" t="n"/>
      <c r="E7" s="26" t="n"/>
      <c r="F7" s="30" t="n"/>
      <c r="G7" s="31">
        <f>IF($F7="","",IF($C7="Recette",$F7,-$F7))</f>
        <v/>
      </c>
      <c r="H7" s="25" t="n"/>
      <c r="I7" s="25" t="n"/>
      <c r="J7" s="26" t="n"/>
    </row>
    <row r="8">
      <c r="A8" s="27" t="n"/>
      <c r="B8" s="25" t="n"/>
      <c r="C8" s="25" t="n"/>
      <c r="D8" s="25" t="n"/>
      <c r="E8" s="26" t="n"/>
      <c r="F8" s="30" t="n"/>
      <c r="G8" s="31">
        <f>IF($F8="","",IF($C8="Recette",$F8,-$F8))</f>
        <v/>
      </c>
      <c r="H8" s="25" t="n"/>
      <c r="I8" s="25" t="n"/>
      <c r="J8" s="26" t="n"/>
    </row>
    <row r="9">
      <c r="A9" s="27" t="n"/>
      <c r="B9" s="25" t="n"/>
      <c r="C9" s="25" t="n"/>
      <c r="D9" s="25" t="n"/>
      <c r="E9" s="26" t="n"/>
      <c r="F9" s="30" t="n"/>
      <c r="G9" s="31">
        <f>IF($F9="","",IF($C9="Recette",$F9,-$F9))</f>
        <v/>
      </c>
      <c r="H9" s="25" t="n"/>
      <c r="I9" s="25" t="n"/>
      <c r="J9" s="26" t="n"/>
    </row>
    <row r="10">
      <c r="A10" s="27" t="n"/>
      <c r="B10" s="25" t="n"/>
      <c r="C10" s="25" t="n"/>
      <c r="D10" s="25" t="n"/>
      <c r="E10" s="26" t="n"/>
      <c r="F10" s="30" t="n"/>
      <c r="G10" s="31">
        <f>IF($F10="","",IF($C10="Recette",$F10,-$F10))</f>
        <v/>
      </c>
      <c r="H10" s="25" t="n"/>
      <c r="I10" s="25" t="n"/>
      <c r="J10" s="26" t="n"/>
    </row>
    <row r="11">
      <c r="A11" s="27" t="n"/>
      <c r="B11" s="25" t="n"/>
      <c r="C11" s="25" t="n"/>
      <c r="D11" s="25" t="n"/>
      <c r="E11" s="26" t="n"/>
      <c r="F11" s="30" t="n"/>
      <c r="G11" s="31">
        <f>IF($F11="","",IF($C11="Recette",$F11,-$F11))</f>
        <v/>
      </c>
      <c r="H11" s="25" t="n"/>
      <c r="I11" s="25" t="n"/>
      <c r="J11" s="26" t="n"/>
    </row>
    <row r="12">
      <c r="A12" s="27" t="n"/>
      <c r="B12" s="25" t="n"/>
      <c r="C12" s="25" t="n"/>
      <c r="D12" s="25" t="n"/>
      <c r="E12" s="26" t="n"/>
      <c r="F12" s="30" t="n"/>
      <c r="G12" s="31">
        <f>IF($F12="","",IF($C12="Recette",$F12,-$F12))</f>
        <v/>
      </c>
      <c r="H12" s="25" t="n"/>
      <c r="I12" s="25" t="n"/>
      <c r="J12" s="26" t="n"/>
    </row>
    <row r="13">
      <c r="A13" s="27" t="n"/>
      <c r="B13" s="25" t="n"/>
      <c r="C13" s="25" t="n"/>
      <c r="D13" s="25" t="n"/>
      <c r="E13" s="26" t="n"/>
      <c r="F13" s="30" t="n"/>
      <c r="G13" s="31">
        <f>IF($F13="","",IF($C13="Recette",$F13,-$F13))</f>
        <v/>
      </c>
      <c r="H13" s="25" t="n"/>
      <c r="I13" s="25" t="n"/>
      <c r="J13" s="26" t="n"/>
    </row>
    <row r="14">
      <c r="A14" s="27" t="n"/>
      <c r="B14" s="25" t="n"/>
      <c r="C14" s="25" t="n"/>
      <c r="D14" s="25" t="n"/>
      <c r="E14" s="26" t="n"/>
      <c r="F14" s="30" t="n"/>
      <c r="G14" s="31">
        <f>IF($F14="","",IF($C14="Recette",$F14,-$F14))</f>
        <v/>
      </c>
      <c r="H14" s="25" t="n"/>
      <c r="I14" s="25" t="n"/>
      <c r="J14" s="26" t="n"/>
    </row>
    <row r="15">
      <c r="A15" s="27" t="n"/>
      <c r="B15" s="25" t="n"/>
      <c r="C15" s="25" t="n"/>
      <c r="D15" s="25" t="n"/>
      <c r="E15" s="26" t="n"/>
      <c r="F15" s="30" t="n"/>
      <c r="G15" s="31">
        <f>IF($F15="","",IF($C15="Recette",$F15,-$F15))</f>
        <v/>
      </c>
      <c r="H15" s="25" t="n"/>
      <c r="I15" s="25" t="n"/>
      <c r="J15" s="26" t="n"/>
    </row>
    <row r="16">
      <c r="A16" s="27" t="n"/>
      <c r="B16" s="25" t="n"/>
      <c r="C16" s="25" t="n"/>
      <c r="D16" s="25" t="n"/>
      <c r="E16" s="26" t="n"/>
      <c r="F16" s="30" t="n"/>
      <c r="G16" s="31">
        <f>IF($F16="","",IF($C16="Recette",$F16,-$F16))</f>
        <v/>
      </c>
      <c r="H16" s="25" t="n"/>
      <c r="I16" s="25" t="n"/>
      <c r="J16" s="26" t="n"/>
    </row>
    <row r="17">
      <c r="A17" s="27" t="n"/>
      <c r="B17" s="25" t="n"/>
      <c r="C17" s="25" t="n"/>
      <c r="D17" s="25" t="n"/>
      <c r="E17" s="26" t="n"/>
      <c r="F17" s="30" t="n"/>
      <c r="G17" s="31">
        <f>IF($F17="","",IF($C17="Recette",$F17,-$F17))</f>
        <v/>
      </c>
      <c r="H17" s="25" t="n"/>
      <c r="I17" s="25" t="n"/>
      <c r="J17" s="26" t="n"/>
    </row>
    <row r="18">
      <c r="A18" s="27" t="n"/>
      <c r="B18" s="25" t="n"/>
      <c r="C18" s="25" t="n"/>
      <c r="D18" s="25" t="n"/>
      <c r="E18" s="26" t="n"/>
      <c r="F18" s="30" t="n"/>
      <c r="G18" s="31">
        <f>IF($F18="","",IF($C18="Recette",$F18,-$F18))</f>
        <v/>
      </c>
      <c r="H18" s="25" t="n"/>
      <c r="I18" s="25" t="n"/>
      <c r="J18" s="26" t="n"/>
    </row>
    <row r="19">
      <c r="A19" s="27" t="n"/>
      <c r="B19" s="25" t="n"/>
      <c r="C19" s="25" t="n"/>
      <c r="D19" s="25" t="n"/>
      <c r="E19" s="26" t="n"/>
      <c r="F19" s="30" t="n"/>
      <c r="G19" s="31">
        <f>IF($F19="","",IF($C19="Recette",$F19,-$F19))</f>
        <v/>
      </c>
      <c r="H19" s="25" t="n"/>
      <c r="I19" s="25" t="n"/>
      <c r="J19" s="26" t="n"/>
    </row>
    <row r="20">
      <c r="A20" s="27" t="n"/>
      <c r="B20" s="25" t="n"/>
      <c r="C20" s="25" t="n"/>
      <c r="D20" s="25" t="n"/>
      <c r="E20" s="26" t="n"/>
      <c r="F20" s="30" t="n"/>
      <c r="G20" s="31">
        <f>IF($F20="","",IF($C20="Recette",$F20,-$F20))</f>
        <v/>
      </c>
      <c r="H20" s="25" t="n"/>
      <c r="I20" s="25" t="n"/>
      <c r="J20" s="26" t="n"/>
    </row>
    <row r="21">
      <c r="A21" s="27" t="n"/>
      <c r="B21" s="25" t="n"/>
      <c r="C21" s="25" t="n"/>
      <c r="D21" s="25" t="n"/>
      <c r="E21" s="26" t="n"/>
      <c r="F21" s="30" t="n"/>
      <c r="G21" s="31">
        <f>IF($F21="","",IF($C21="Recette",$F21,-$F21))</f>
        <v/>
      </c>
      <c r="H21" s="25" t="n"/>
      <c r="I21" s="25" t="n"/>
      <c r="J21" s="26" t="n"/>
    </row>
    <row r="22">
      <c r="A22" s="27" t="n"/>
      <c r="B22" s="25" t="n"/>
      <c r="C22" s="25" t="n"/>
      <c r="D22" s="25" t="n"/>
      <c r="E22" s="26" t="n"/>
      <c r="F22" s="30" t="n"/>
      <c r="G22" s="31">
        <f>IF($F22="","",IF($C22="Recette",$F22,-$F22))</f>
        <v/>
      </c>
      <c r="H22" s="25" t="n"/>
      <c r="I22" s="25" t="n"/>
      <c r="J22" s="26" t="n"/>
    </row>
    <row r="23">
      <c r="A23" s="27" t="n"/>
      <c r="B23" s="25" t="n"/>
      <c r="C23" s="25" t="n"/>
      <c r="D23" s="25" t="n"/>
      <c r="E23" s="26" t="n"/>
      <c r="F23" s="30" t="n"/>
      <c r="G23" s="31">
        <f>IF($F23="","",IF($C23="Recette",$F23,-$F23))</f>
        <v/>
      </c>
      <c r="H23" s="25" t="n"/>
      <c r="I23" s="25" t="n"/>
      <c r="J23" s="26" t="n"/>
    </row>
    <row r="24">
      <c r="A24" s="27" t="n"/>
      <c r="B24" s="25" t="n"/>
      <c r="C24" s="25" t="n"/>
      <c r="D24" s="25" t="n"/>
      <c r="E24" s="26" t="n"/>
      <c r="F24" s="30" t="n"/>
      <c r="G24" s="31">
        <f>IF($F24="","",IF($C24="Recette",$F24,-$F24))</f>
        <v/>
      </c>
      <c r="H24" s="25" t="n"/>
      <c r="I24" s="25" t="n"/>
      <c r="J24" s="26" t="n"/>
    </row>
    <row r="25">
      <c r="A25" s="27" t="n"/>
      <c r="B25" s="25" t="n"/>
      <c r="C25" s="25" t="n"/>
      <c r="D25" s="25" t="n"/>
      <c r="E25" s="26" t="n"/>
      <c r="F25" s="30" t="n"/>
      <c r="G25" s="31">
        <f>IF($F25="","",IF($C25="Recette",$F25,-$F25))</f>
        <v/>
      </c>
      <c r="H25" s="25" t="n"/>
      <c r="I25" s="25" t="n"/>
      <c r="J25" s="26" t="n"/>
    </row>
    <row r="26">
      <c r="A26" s="27" t="n"/>
      <c r="B26" s="25" t="n"/>
      <c r="C26" s="25" t="n"/>
      <c r="D26" s="25" t="n"/>
      <c r="E26" s="26" t="n"/>
      <c r="F26" s="30" t="n"/>
      <c r="G26" s="31">
        <f>IF($F26="","",IF($C26="Recette",$F26,-$F26))</f>
        <v/>
      </c>
      <c r="H26" s="25" t="n"/>
      <c r="I26" s="25" t="n"/>
      <c r="J26" s="26" t="n"/>
    </row>
    <row r="27">
      <c r="A27" s="27" t="n"/>
      <c r="B27" s="25" t="n"/>
      <c r="C27" s="25" t="n"/>
      <c r="D27" s="25" t="n"/>
      <c r="E27" s="26" t="n"/>
      <c r="F27" s="30" t="n"/>
      <c r="G27" s="31">
        <f>IF($F27="","",IF($C27="Recette",$F27,-$F27))</f>
        <v/>
      </c>
      <c r="H27" s="25" t="n"/>
      <c r="I27" s="25" t="n"/>
      <c r="J27" s="26" t="n"/>
    </row>
    <row r="28">
      <c r="A28" s="27" t="n"/>
      <c r="B28" s="25" t="n"/>
      <c r="C28" s="25" t="n"/>
      <c r="D28" s="25" t="n"/>
      <c r="E28" s="26" t="n"/>
      <c r="F28" s="30" t="n"/>
      <c r="G28" s="31">
        <f>IF($F28="","",IF($C28="Recette",$F28,-$F28))</f>
        <v/>
      </c>
      <c r="H28" s="25" t="n"/>
      <c r="I28" s="25" t="n"/>
      <c r="J28" s="26" t="n"/>
    </row>
    <row r="29">
      <c r="A29" s="27" t="n"/>
      <c r="B29" s="25" t="n"/>
      <c r="C29" s="25" t="n"/>
      <c r="D29" s="25" t="n"/>
      <c r="E29" s="26" t="n"/>
      <c r="F29" s="30" t="n"/>
      <c r="G29" s="31">
        <f>IF($F29="","",IF($C29="Recette",$F29,-$F29))</f>
        <v/>
      </c>
      <c r="H29" s="25" t="n"/>
      <c r="I29" s="25" t="n"/>
      <c r="J29" s="26" t="n"/>
    </row>
    <row r="30">
      <c r="A30" s="27" t="n"/>
      <c r="B30" s="25" t="n"/>
      <c r="C30" s="25" t="n"/>
      <c r="D30" s="25" t="n"/>
      <c r="E30" s="26" t="n"/>
      <c r="F30" s="30" t="n"/>
      <c r="G30" s="31">
        <f>IF($F30="","",IF($C30="Recette",$F30,-$F30))</f>
        <v/>
      </c>
      <c r="H30" s="25" t="n"/>
      <c r="I30" s="25" t="n"/>
      <c r="J30" s="26" t="n"/>
    </row>
    <row r="31">
      <c r="A31" s="27" t="n"/>
      <c r="B31" s="25" t="n"/>
      <c r="C31" s="25" t="n"/>
      <c r="D31" s="25" t="n"/>
      <c r="E31" s="26" t="n"/>
      <c r="F31" s="30" t="n"/>
      <c r="G31" s="31">
        <f>IF($F31="","",IF($C31="Recette",$F31,-$F31))</f>
        <v/>
      </c>
      <c r="H31" s="25" t="n"/>
      <c r="I31" s="25" t="n"/>
      <c r="J31" s="26" t="n"/>
    </row>
    <row r="32">
      <c r="A32" s="27" t="n"/>
      <c r="B32" s="25" t="n"/>
      <c r="C32" s="25" t="n"/>
      <c r="D32" s="25" t="n"/>
      <c r="E32" s="26" t="n"/>
      <c r="F32" s="30" t="n"/>
      <c r="G32" s="31">
        <f>IF($F32="","",IF($C32="Recette",$F32,-$F32))</f>
        <v/>
      </c>
      <c r="H32" s="25" t="n"/>
      <c r="I32" s="25" t="n"/>
      <c r="J32" s="26" t="n"/>
    </row>
    <row r="33">
      <c r="A33" s="27" t="n"/>
      <c r="B33" s="25" t="n"/>
      <c r="C33" s="25" t="n"/>
      <c r="D33" s="25" t="n"/>
      <c r="E33" s="26" t="n"/>
      <c r="F33" s="30" t="n"/>
      <c r="G33" s="31">
        <f>IF($F33="","",IF($C33="Recette",$F33,-$F33))</f>
        <v/>
      </c>
      <c r="H33" s="25" t="n"/>
      <c r="I33" s="25" t="n"/>
      <c r="J33" s="26" t="n"/>
    </row>
    <row r="34">
      <c r="A34" s="27" t="n"/>
      <c r="B34" s="25" t="n"/>
      <c r="C34" s="25" t="n"/>
      <c r="D34" s="25" t="n"/>
      <c r="E34" s="26" t="n"/>
      <c r="F34" s="30" t="n"/>
      <c r="G34" s="31">
        <f>IF($F34="","",IF($C34="Recette",$F34,-$F34))</f>
        <v/>
      </c>
      <c r="H34" s="25" t="n"/>
      <c r="I34" s="25" t="n"/>
      <c r="J34" s="26" t="n"/>
    </row>
    <row r="35">
      <c r="A35" s="27" t="n"/>
      <c r="B35" s="25" t="n"/>
      <c r="C35" s="25" t="n"/>
      <c r="D35" s="25" t="n"/>
      <c r="E35" s="26" t="n"/>
      <c r="F35" s="30" t="n"/>
      <c r="G35" s="31">
        <f>IF($F35="","",IF($C35="Recette",$F35,-$F35))</f>
        <v/>
      </c>
      <c r="H35" s="25" t="n"/>
      <c r="I35" s="25" t="n"/>
      <c r="J35" s="26" t="n"/>
    </row>
    <row r="36">
      <c r="A36" s="27" t="n"/>
      <c r="B36" s="25" t="n"/>
      <c r="C36" s="25" t="n"/>
      <c r="D36" s="25" t="n"/>
      <c r="E36" s="26" t="n"/>
      <c r="F36" s="30" t="n"/>
      <c r="G36" s="31">
        <f>IF($F36="","",IF($C36="Recette",$F36,-$F36))</f>
        <v/>
      </c>
      <c r="H36" s="25" t="n"/>
      <c r="I36" s="25" t="n"/>
      <c r="J36" s="26" t="n"/>
    </row>
    <row r="37">
      <c r="A37" s="27" t="n"/>
      <c r="B37" s="25" t="n"/>
      <c r="C37" s="25" t="n"/>
      <c r="D37" s="25" t="n"/>
      <c r="E37" s="26" t="n"/>
      <c r="F37" s="30" t="n"/>
      <c r="G37" s="31">
        <f>IF($F37="","",IF($C37="Recette",$F37,-$F37))</f>
        <v/>
      </c>
      <c r="H37" s="25" t="n"/>
      <c r="I37" s="25" t="n"/>
      <c r="J37" s="26" t="n"/>
    </row>
    <row r="38">
      <c r="A38" s="27" t="n"/>
      <c r="B38" s="25" t="n"/>
      <c r="C38" s="25" t="n"/>
      <c r="D38" s="25" t="n"/>
      <c r="E38" s="26" t="n"/>
      <c r="F38" s="30" t="n"/>
      <c r="G38" s="31">
        <f>IF($F38="","",IF($C38="Recette",$F38,-$F38))</f>
        <v/>
      </c>
      <c r="H38" s="25" t="n"/>
      <c r="I38" s="25" t="n"/>
      <c r="J38" s="26" t="n"/>
    </row>
    <row r="39">
      <c r="A39" s="27" t="n"/>
      <c r="B39" s="25" t="n"/>
      <c r="C39" s="25" t="n"/>
      <c r="D39" s="25" t="n"/>
      <c r="E39" s="26" t="n"/>
      <c r="F39" s="30" t="n"/>
      <c r="G39" s="31">
        <f>IF($F39="","",IF($C39="Recette",$F39,-$F39))</f>
        <v/>
      </c>
      <c r="H39" s="25" t="n"/>
      <c r="I39" s="25" t="n"/>
      <c r="J39" s="26" t="n"/>
    </row>
    <row r="40">
      <c r="A40" s="27" t="n"/>
      <c r="B40" s="25" t="n"/>
      <c r="C40" s="25" t="n"/>
      <c r="D40" s="25" t="n"/>
      <c r="E40" s="26" t="n"/>
      <c r="F40" s="30" t="n"/>
      <c r="G40" s="31">
        <f>IF($F40="","",IF($C40="Recette",$F40,-$F40))</f>
        <v/>
      </c>
      <c r="H40" s="25" t="n"/>
      <c r="I40" s="25" t="n"/>
      <c r="J40" s="26" t="n"/>
    </row>
    <row r="41">
      <c r="A41" s="27" t="n"/>
      <c r="B41" s="25" t="n"/>
      <c r="C41" s="25" t="n"/>
      <c r="D41" s="25" t="n"/>
      <c r="E41" s="26" t="n"/>
      <c r="F41" s="30" t="n"/>
      <c r="G41" s="31">
        <f>IF($F41="","",IF($C41="Recette",$F41,-$F41))</f>
        <v/>
      </c>
      <c r="H41" s="25" t="n"/>
      <c r="I41" s="25" t="n"/>
      <c r="J41" s="26" t="n"/>
    </row>
    <row r="42">
      <c r="A42" s="27" t="n"/>
      <c r="B42" s="25" t="n"/>
      <c r="C42" s="25" t="n"/>
      <c r="D42" s="25" t="n"/>
      <c r="E42" s="26" t="n"/>
      <c r="F42" s="30" t="n"/>
      <c r="G42" s="31">
        <f>IF($F42="","",IF($C42="Recette",$F42,-$F42))</f>
        <v/>
      </c>
      <c r="H42" s="25" t="n"/>
      <c r="I42" s="25" t="n"/>
      <c r="J42" s="26" t="n"/>
    </row>
    <row r="43">
      <c r="A43" s="27" t="n"/>
      <c r="B43" s="25" t="n"/>
      <c r="C43" s="25" t="n"/>
      <c r="D43" s="25" t="n"/>
      <c r="E43" s="26" t="n"/>
      <c r="F43" s="30" t="n"/>
      <c r="G43" s="31">
        <f>IF($F43="","",IF($C43="Recette",$F43,-$F43))</f>
        <v/>
      </c>
      <c r="H43" s="25" t="n"/>
      <c r="I43" s="25" t="n"/>
      <c r="J43" s="26" t="n"/>
    </row>
    <row r="44">
      <c r="A44" s="27" t="n"/>
      <c r="B44" s="25" t="n"/>
      <c r="C44" s="25" t="n"/>
      <c r="D44" s="25" t="n"/>
      <c r="E44" s="26" t="n"/>
      <c r="F44" s="30" t="n"/>
      <c r="G44" s="31">
        <f>IF($F44="","",IF($C44="Recette",$F44,-$F44))</f>
        <v/>
      </c>
      <c r="H44" s="25" t="n"/>
      <c r="I44" s="25" t="n"/>
      <c r="J44" s="26" t="n"/>
    </row>
    <row r="45">
      <c r="A45" s="27" t="n"/>
      <c r="B45" s="25" t="n"/>
      <c r="C45" s="25" t="n"/>
      <c r="D45" s="25" t="n"/>
      <c r="E45" s="26" t="n"/>
      <c r="F45" s="30" t="n"/>
      <c r="G45" s="31">
        <f>IF($F45="","",IF($C45="Recette",$F45,-$F45))</f>
        <v/>
      </c>
      <c r="H45" s="25" t="n"/>
      <c r="I45" s="25" t="n"/>
      <c r="J45" s="26" t="n"/>
    </row>
    <row r="46">
      <c r="A46" s="27" t="n"/>
      <c r="B46" s="25" t="n"/>
      <c r="C46" s="25" t="n"/>
      <c r="D46" s="25" t="n"/>
      <c r="E46" s="26" t="n"/>
      <c r="F46" s="30" t="n"/>
      <c r="G46" s="31">
        <f>IF($F46="","",IF($C46="Recette",$F46,-$F46))</f>
        <v/>
      </c>
      <c r="H46" s="25" t="n"/>
      <c r="I46" s="25" t="n"/>
      <c r="J46" s="26" t="n"/>
    </row>
    <row r="47">
      <c r="A47" s="27" t="n"/>
      <c r="B47" s="25" t="n"/>
      <c r="C47" s="25" t="n"/>
      <c r="D47" s="25" t="n"/>
      <c r="E47" s="26" t="n"/>
      <c r="F47" s="30" t="n"/>
      <c r="G47" s="31">
        <f>IF($F47="","",IF($C47="Recette",$F47,-$F47))</f>
        <v/>
      </c>
      <c r="H47" s="25" t="n"/>
      <c r="I47" s="25" t="n"/>
      <c r="J47" s="26" t="n"/>
    </row>
    <row r="48">
      <c r="A48" s="27" t="n"/>
      <c r="B48" s="25" t="n"/>
      <c r="C48" s="25" t="n"/>
      <c r="D48" s="25" t="n"/>
      <c r="E48" s="26" t="n"/>
      <c r="F48" s="30" t="n"/>
      <c r="G48" s="31">
        <f>IF($F48="","",IF($C48="Recette",$F48,-$F48))</f>
        <v/>
      </c>
      <c r="H48" s="25" t="n"/>
      <c r="I48" s="25" t="n"/>
      <c r="J48" s="26" t="n"/>
    </row>
    <row r="49">
      <c r="A49" s="27" t="n"/>
      <c r="B49" s="25" t="n"/>
      <c r="C49" s="25" t="n"/>
      <c r="D49" s="25" t="n"/>
      <c r="E49" s="26" t="n"/>
      <c r="F49" s="30" t="n"/>
      <c r="G49" s="31">
        <f>IF($F49="","",IF($C49="Recette",$F49,-$F49))</f>
        <v/>
      </c>
      <c r="H49" s="25" t="n"/>
      <c r="I49" s="25" t="n"/>
      <c r="J49" s="26" t="n"/>
    </row>
    <row r="50">
      <c r="A50" s="27" t="n"/>
      <c r="B50" s="25" t="n"/>
      <c r="C50" s="25" t="n"/>
      <c r="D50" s="25" t="n"/>
      <c r="E50" s="26" t="n"/>
      <c r="F50" s="30" t="n"/>
      <c r="G50" s="31">
        <f>IF($F50="","",IF($C50="Recette",$F50,-$F50))</f>
        <v/>
      </c>
      <c r="H50" s="25" t="n"/>
      <c r="I50" s="25" t="n"/>
      <c r="J50" s="26" t="n"/>
    </row>
    <row r="51">
      <c r="A51" s="27" t="n"/>
      <c r="B51" s="25" t="n"/>
      <c r="C51" s="25" t="n"/>
      <c r="D51" s="25" t="n"/>
      <c r="E51" s="26" t="n"/>
      <c r="F51" s="30" t="n"/>
      <c r="G51" s="31">
        <f>IF($F51="","",IF($C51="Recette",$F51,-$F51))</f>
        <v/>
      </c>
      <c r="H51" s="25" t="n"/>
      <c r="I51" s="25" t="n"/>
      <c r="J51" s="26" t="n"/>
    </row>
    <row r="52">
      <c r="A52" s="27" t="n"/>
      <c r="B52" s="25" t="n"/>
      <c r="C52" s="25" t="n"/>
      <c r="D52" s="25" t="n"/>
      <c r="E52" s="26" t="n"/>
      <c r="F52" s="30" t="n"/>
      <c r="G52" s="31">
        <f>IF($F52="","",IF($C52="Recette",$F52,-$F52))</f>
        <v/>
      </c>
      <c r="H52" s="25" t="n"/>
      <c r="I52" s="25" t="n"/>
      <c r="J52" s="26" t="n"/>
    </row>
    <row r="53">
      <c r="A53" s="27" t="n"/>
      <c r="B53" s="25" t="n"/>
      <c r="C53" s="25" t="n"/>
      <c r="D53" s="25" t="n"/>
      <c r="E53" s="26" t="n"/>
      <c r="F53" s="30" t="n"/>
      <c r="G53" s="31">
        <f>IF($F53="","",IF($C53="Recette",$F53,-$F53))</f>
        <v/>
      </c>
      <c r="H53" s="25" t="n"/>
      <c r="I53" s="25" t="n"/>
      <c r="J53" s="26" t="n"/>
    </row>
    <row r="54">
      <c r="A54" s="27" t="n"/>
      <c r="B54" s="25" t="n"/>
      <c r="C54" s="25" t="n"/>
      <c r="D54" s="25" t="n"/>
      <c r="E54" s="26" t="n"/>
      <c r="F54" s="30" t="n"/>
      <c r="G54" s="31">
        <f>IF($F54="","",IF($C54="Recette",$F54,-$F54))</f>
        <v/>
      </c>
      <c r="H54" s="25" t="n"/>
      <c r="I54" s="25" t="n"/>
      <c r="J54" s="26" t="n"/>
    </row>
    <row r="55">
      <c r="A55" s="27" t="n"/>
      <c r="B55" s="25" t="n"/>
      <c r="C55" s="25" t="n"/>
      <c r="D55" s="25" t="n"/>
      <c r="E55" s="26" t="n"/>
      <c r="F55" s="30" t="n"/>
      <c r="G55" s="31">
        <f>IF($F55="","",IF($C55="Recette",$F55,-$F55))</f>
        <v/>
      </c>
      <c r="H55" s="25" t="n"/>
      <c r="I55" s="25" t="n"/>
      <c r="J55" s="26" t="n"/>
    </row>
    <row r="56">
      <c r="A56" s="27" t="n"/>
      <c r="B56" s="25" t="n"/>
      <c r="C56" s="25" t="n"/>
      <c r="D56" s="25" t="n"/>
      <c r="E56" s="26" t="n"/>
      <c r="F56" s="30" t="n"/>
      <c r="G56" s="31">
        <f>IF($F56="","",IF($C56="Recette",$F56,-$F56))</f>
        <v/>
      </c>
      <c r="H56" s="25" t="n"/>
      <c r="I56" s="25" t="n"/>
      <c r="J56" s="26" t="n"/>
    </row>
    <row r="57">
      <c r="A57" s="27" t="n"/>
      <c r="B57" s="25" t="n"/>
      <c r="C57" s="25" t="n"/>
      <c r="D57" s="25" t="n"/>
      <c r="E57" s="26" t="n"/>
      <c r="F57" s="30" t="n"/>
      <c r="G57" s="31">
        <f>IF($F57="","",IF($C57="Recette",$F57,-$F57))</f>
        <v/>
      </c>
      <c r="H57" s="25" t="n"/>
      <c r="I57" s="25" t="n"/>
      <c r="J57" s="26" t="n"/>
    </row>
    <row r="58">
      <c r="A58" s="27" t="n"/>
      <c r="B58" s="25" t="n"/>
      <c r="C58" s="25" t="n"/>
      <c r="D58" s="25" t="n"/>
      <c r="E58" s="26" t="n"/>
      <c r="F58" s="30" t="n"/>
      <c r="G58" s="31">
        <f>IF($F58="","",IF($C58="Recette",$F58,-$F58))</f>
        <v/>
      </c>
      <c r="H58" s="25" t="n"/>
      <c r="I58" s="25" t="n"/>
      <c r="J58" s="26" t="n"/>
    </row>
    <row r="59">
      <c r="A59" s="27" t="n"/>
      <c r="B59" s="25" t="n"/>
      <c r="C59" s="25" t="n"/>
      <c r="D59" s="25" t="n"/>
      <c r="E59" s="26" t="n"/>
      <c r="F59" s="30" t="n"/>
      <c r="G59" s="31">
        <f>IF($F59="","",IF($C59="Recette",$F59,-$F59))</f>
        <v/>
      </c>
      <c r="H59" s="25" t="n"/>
      <c r="I59" s="25" t="n"/>
      <c r="J59" s="26" t="n"/>
    </row>
    <row r="60">
      <c r="A60" s="27" t="n"/>
      <c r="B60" s="25" t="n"/>
      <c r="C60" s="25" t="n"/>
      <c r="D60" s="25" t="n"/>
      <c r="E60" s="26" t="n"/>
      <c r="F60" s="30" t="n"/>
      <c r="G60" s="31">
        <f>IF($F60="","",IF($C60="Recette",$F60,-$F60))</f>
        <v/>
      </c>
      <c r="H60" s="25" t="n"/>
      <c r="I60" s="25" t="n"/>
      <c r="J60" s="26" t="n"/>
    </row>
    <row r="61">
      <c r="A61" s="27" t="n"/>
      <c r="B61" s="25" t="n"/>
      <c r="C61" s="25" t="n"/>
      <c r="D61" s="25" t="n"/>
      <c r="E61" s="26" t="n"/>
      <c r="F61" s="30" t="n"/>
      <c r="G61" s="31">
        <f>IF($F61="","",IF($C61="Recette",$F61,-$F61))</f>
        <v/>
      </c>
      <c r="H61" s="25" t="n"/>
      <c r="I61" s="25" t="n"/>
      <c r="J61" s="26" t="n"/>
    </row>
    <row r="62">
      <c r="A62" s="27" t="n"/>
      <c r="B62" s="25" t="n"/>
      <c r="C62" s="25" t="n"/>
      <c r="D62" s="25" t="n"/>
      <c r="E62" s="26" t="n"/>
      <c r="F62" s="30" t="n"/>
      <c r="G62" s="31">
        <f>IF($F62="","",IF($C62="Recette",$F62,-$F62))</f>
        <v/>
      </c>
      <c r="H62" s="25" t="n"/>
      <c r="I62" s="25" t="n"/>
      <c r="J62" s="26" t="n"/>
    </row>
    <row r="63">
      <c r="A63" s="27" t="n"/>
      <c r="B63" s="25" t="n"/>
      <c r="C63" s="25" t="n"/>
      <c r="D63" s="25" t="n"/>
      <c r="E63" s="26" t="n"/>
      <c r="F63" s="30" t="n"/>
      <c r="G63" s="31">
        <f>IF($F63="","",IF($C63="Recette",$F63,-$F63))</f>
        <v/>
      </c>
      <c r="H63" s="25" t="n"/>
      <c r="I63" s="25" t="n"/>
      <c r="J63" s="26" t="n"/>
    </row>
    <row r="64">
      <c r="A64" s="27" t="n"/>
      <c r="B64" s="25" t="n"/>
      <c r="C64" s="25" t="n"/>
      <c r="D64" s="25" t="n"/>
      <c r="E64" s="26" t="n"/>
      <c r="F64" s="30" t="n"/>
      <c r="G64" s="31">
        <f>IF($F64="","",IF($C64="Recette",$F64,-$F64))</f>
        <v/>
      </c>
      <c r="H64" s="25" t="n"/>
      <c r="I64" s="25" t="n"/>
      <c r="J64" s="26" t="n"/>
    </row>
    <row r="65">
      <c r="A65" s="27" t="n"/>
      <c r="B65" s="25" t="n"/>
      <c r="C65" s="25" t="n"/>
      <c r="D65" s="25" t="n"/>
      <c r="E65" s="26" t="n"/>
      <c r="F65" s="30" t="n"/>
      <c r="G65" s="31">
        <f>IF($F65="","",IF($C65="Recette",$F65,-$F65))</f>
        <v/>
      </c>
      <c r="H65" s="25" t="n"/>
      <c r="I65" s="25" t="n"/>
      <c r="J65" s="26" t="n"/>
    </row>
    <row r="66">
      <c r="A66" s="27" t="n"/>
      <c r="B66" s="25" t="n"/>
      <c r="C66" s="25" t="n"/>
      <c r="D66" s="25" t="n"/>
      <c r="E66" s="26" t="n"/>
      <c r="F66" s="30" t="n"/>
      <c r="G66" s="31">
        <f>IF($F66="","",IF($C66="Recette",$F66,-$F66))</f>
        <v/>
      </c>
      <c r="H66" s="25" t="n"/>
      <c r="I66" s="25" t="n"/>
      <c r="J66" s="26" t="n"/>
    </row>
    <row r="67">
      <c r="A67" s="27" t="n"/>
      <c r="B67" s="25" t="n"/>
      <c r="C67" s="25" t="n"/>
      <c r="D67" s="25" t="n"/>
      <c r="E67" s="26" t="n"/>
      <c r="F67" s="30" t="n"/>
      <c r="G67" s="31">
        <f>IF($F67="","",IF($C67="Recette",$F67,-$F67))</f>
        <v/>
      </c>
      <c r="H67" s="25" t="n"/>
      <c r="I67" s="25" t="n"/>
      <c r="J67" s="26" t="n"/>
    </row>
    <row r="68">
      <c r="A68" s="27" t="n"/>
      <c r="B68" s="25" t="n"/>
      <c r="C68" s="25" t="n"/>
      <c r="D68" s="25" t="n"/>
      <c r="E68" s="26" t="n"/>
      <c r="F68" s="30" t="n"/>
      <c r="G68" s="31">
        <f>IF($F68="","",IF($C68="Recette",$F68,-$F68))</f>
        <v/>
      </c>
      <c r="H68" s="25" t="n"/>
      <c r="I68" s="25" t="n"/>
      <c r="J68" s="26" t="n"/>
    </row>
    <row r="69">
      <c r="A69" s="27" t="n"/>
      <c r="B69" s="25" t="n"/>
      <c r="C69" s="25" t="n"/>
      <c r="D69" s="25" t="n"/>
      <c r="E69" s="26" t="n"/>
      <c r="F69" s="30" t="n"/>
      <c r="G69" s="31">
        <f>IF($F69="","",IF($C69="Recette",$F69,-$F69))</f>
        <v/>
      </c>
      <c r="H69" s="25" t="n"/>
      <c r="I69" s="25" t="n"/>
      <c r="J69" s="26" t="n"/>
    </row>
    <row r="70">
      <c r="A70" s="27" t="n"/>
      <c r="B70" s="25" t="n"/>
      <c r="C70" s="25" t="n"/>
      <c r="D70" s="25" t="n"/>
      <c r="E70" s="26" t="n"/>
      <c r="F70" s="30" t="n"/>
      <c r="G70" s="31">
        <f>IF($F70="","",IF($C70="Recette",$F70,-$F70))</f>
        <v/>
      </c>
      <c r="H70" s="25" t="n"/>
      <c r="I70" s="25" t="n"/>
      <c r="J70" s="26" t="n"/>
    </row>
    <row r="71">
      <c r="A71" s="27" t="n"/>
      <c r="B71" s="25" t="n"/>
      <c r="C71" s="25" t="n"/>
      <c r="D71" s="25" t="n"/>
      <c r="E71" s="26" t="n"/>
      <c r="F71" s="30" t="n"/>
      <c r="G71" s="31">
        <f>IF($F71="","",IF($C71="Recette",$F71,-$F71))</f>
        <v/>
      </c>
      <c r="H71" s="25" t="n"/>
      <c r="I71" s="25" t="n"/>
      <c r="J71" s="26" t="n"/>
    </row>
    <row r="72">
      <c r="A72" s="27" t="n"/>
      <c r="B72" s="25" t="n"/>
      <c r="C72" s="25" t="n"/>
      <c r="D72" s="25" t="n"/>
      <c r="E72" s="26" t="n"/>
      <c r="F72" s="30" t="n"/>
      <c r="G72" s="31">
        <f>IF($F72="","",IF($C72="Recette",$F72,-$F72))</f>
        <v/>
      </c>
      <c r="H72" s="25" t="n"/>
      <c r="I72" s="25" t="n"/>
      <c r="J72" s="26" t="n"/>
    </row>
    <row r="73">
      <c r="A73" s="27" t="n"/>
      <c r="B73" s="25" t="n"/>
      <c r="C73" s="25" t="n"/>
      <c r="D73" s="25" t="n"/>
      <c r="E73" s="26" t="n"/>
      <c r="F73" s="30" t="n"/>
      <c r="G73" s="31">
        <f>IF($F73="","",IF($C73="Recette",$F73,-$F73))</f>
        <v/>
      </c>
      <c r="H73" s="25" t="n"/>
      <c r="I73" s="25" t="n"/>
      <c r="J73" s="26" t="n"/>
    </row>
    <row r="74">
      <c r="A74" s="27" t="n"/>
      <c r="B74" s="25" t="n"/>
      <c r="C74" s="25" t="n"/>
      <c r="D74" s="25" t="n"/>
      <c r="E74" s="26" t="n"/>
      <c r="F74" s="30" t="n"/>
      <c r="G74" s="31">
        <f>IF($F74="","",IF($C74="Recette",$F74,-$F74))</f>
        <v/>
      </c>
      <c r="H74" s="25" t="n"/>
      <c r="I74" s="25" t="n"/>
      <c r="J74" s="26" t="n"/>
    </row>
    <row r="75">
      <c r="A75" s="27" t="n"/>
      <c r="B75" s="25" t="n"/>
      <c r="C75" s="25" t="n"/>
      <c r="D75" s="25" t="n"/>
      <c r="E75" s="26" t="n"/>
      <c r="F75" s="30" t="n"/>
      <c r="G75" s="31">
        <f>IF($F75="","",IF($C75="Recette",$F75,-$F75))</f>
        <v/>
      </c>
      <c r="H75" s="25" t="n"/>
      <c r="I75" s="25" t="n"/>
      <c r="J75" s="26" t="n"/>
    </row>
    <row r="76">
      <c r="A76" s="27" t="n"/>
      <c r="B76" s="25" t="n"/>
      <c r="C76" s="25" t="n"/>
      <c r="D76" s="25" t="n"/>
      <c r="E76" s="26" t="n"/>
      <c r="F76" s="30" t="n"/>
      <c r="G76" s="31">
        <f>IF($F76="","",IF($C76="Recette",$F76,-$F76))</f>
        <v/>
      </c>
      <c r="H76" s="25" t="n"/>
      <c r="I76" s="25" t="n"/>
      <c r="J76" s="26" t="n"/>
    </row>
    <row r="77">
      <c r="A77" s="27" t="n"/>
      <c r="B77" s="25" t="n"/>
      <c r="C77" s="25" t="n"/>
      <c r="D77" s="25" t="n"/>
      <c r="E77" s="26" t="n"/>
      <c r="F77" s="30" t="n"/>
      <c r="G77" s="31">
        <f>IF($F77="","",IF($C77="Recette",$F77,-$F77))</f>
        <v/>
      </c>
      <c r="H77" s="25" t="n"/>
      <c r="I77" s="25" t="n"/>
      <c r="J77" s="26" t="n"/>
    </row>
    <row r="78">
      <c r="A78" s="27" t="n"/>
      <c r="B78" s="25" t="n"/>
      <c r="C78" s="25" t="n"/>
      <c r="D78" s="25" t="n"/>
      <c r="E78" s="26" t="n"/>
      <c r="F78" s="30" t="n"/>
      <c r="G78" s="31">
        <f>IF($F78="","",IF($C78="Recette",$F78,-$F78))</f>
        <v/>
      </c>
      <c r="H78" s="25" t="n"/>
      <c r="I78" s="25" t="n"/>
      <c r="J78" s="26" t="n"/>
    </row>
    <row r="79">
      <c r="A79" s="27" t="n"/>
      <c r="B79" s="25" t="n"/>
      <c r="C79" s="25" t="n"/>
      <c r="D79" s="25" t="n"/>
      <c r="E79" s="26" t="n"/>
      <c r="F79" s="30" t="n"/>
      <c r="G79" s="31">
        <f>IF($F79="","",IF($C79="Recette",$F79,-$F79))</f>
        <v/>
      </c>
      <c r="H79" s="25" t="n"/>
      <c r="I79" s="25" t="n"/>
      <c r="J79" s="26" t="n"/>
    </row>
    <row r="80">
      <c r="A80" s="27" t="n"/>
      <c r="B80" s="25" t="n"/>
      <c r="C80" s="25" t="n"/>
      <c r="D80" s="25" t="n"/>
      <c r="E80" s="26" t="n"/>
      <c r="F80" s="30" t="n"/>
      <c r="G80" s="31">
        <f>IF($F80="","",IF($C80="Recette",$F80,-$F80))</f>
        <v/>
      </c>
      <c r="H80" s="25" t="n"/>
      <c r="I80" s="25" t="n"/>
      <c r="J80" s="26" t="n"/>
    </row>
    <row r="81">
      <c r="A81" s="27" t="n"/>
      <c r="B81" s="25" t="n"/>
      <c r="C81" s="25" t="n"/>
      <c r="D81" s="25" t="n"/>
      <c r="E81" s="26" t="n"/>
      <c r="F81" s="30" t="n"/>
      <c r="G81" s="31">
        <f>IF($F81="","",IF($C81="Recette",$F81,-$F81))</f>
        <v/>
      </c>
      <c r="H81" s="25" t="n"/>
      <c r="I81" s="25" t="n"/>
      <c r="J81" s="26" t="n"/>
    </row>
    <row r="82">
      <c r="A82" s="27" t="n"/>
      <c r="B82" s="25" t="n"/>
      <c r="C82" s="25" t="n"/>
      <c r="D82" s="25" t="n"/>
      <c r="E82" s="26" t="n"/>
      <c r="F82" s="30" t="n"/>
      <c r="G82" s="31">
        <f>IF($F82="","",IF($C82="Recette",$F82,-$F82))</f>
        <v/>
      </c>
      <c r="H82" s="25" t="n"/>
      <c r="I82" s="25" t="n"/>
      <c r="J82" s="26" t="n"/>
    </row>
    <row r="83">
      <c r="A83" s="27" t="n"/>
      <c r="B83" s="25" t="n"/>
      <c r="C83" s="25" t="n"/>
      <c r="D83" s="25" t="n"/>
      <c r="E83" s="26" t="n"/>
      <c r="F83" s="30" t="n"/>
      <c r="G83" s="31">
        <f>IF($F83="","",IF($C83="Recette",$F83,-$F83))</f>
        <v/>
      </c>
      <c r="H83" s="25" t="n"/>
      <c r="I83" s="25" t="n"/>
      <c r="J83" s="26" t="n"/>
    </row>
    <row r="84">
      <c r="A84" s="27" t="n"/>
      <c r="B84" s="25" t="n"/>
      <c r="C84" s="25" t="n"/>
      <c r="D84" s="25" t="n"/>
      <c r="E84" s="26" t="n"/>
      <c r="F84" s="30" t="n"/>
      <c r="G84" s="31">
        <f>IF($F84="","",IF($C84="Recette",$F84,-$F84))</f>
        <v/>
      </c>
      <c r="H84" s="25" t="n"/>
      <c r="I84" s="25" t="n"/>
      <c r="J84" s="26" t="n"/>
    </row>
    <row r="85">
      <c r="A85" s="27" t="n"/>
      <c r="B85" s="25" t="n"/>
      <c r="C85" s="25" t="n"/>
      <c r="D85" s="25" t="n"/>
      <c r="E85" s="26" t="n"/>
      <c r="F85" s="30" t="n"/>
      <c r="G85" s="31">
        <f>IF($F85="","",IF($C85="Recette",$F85,-$F85))</f>
        <v/>
      </c>
      <c r="H85" s="25" t="n"/>
      <c r="I85" s="25" t="n"/>
      <c r="J85" s="26" t="n"/>
    </row>
    <row r="86">
      <c r="A86" s="27" t="n"/>
      <c r="B86" s="25" t="n"/>
      <c r="C86" s="25" t="n"/>
      <c r="D86" s="25" t="n"/>
      <c r="E86" s="26" t="n"/>
      <c r="F86" s="30" t="n"/>
      <c r="G86" s="31">
        <f>IF($F86="","",IF($C86="Recette",$F86,-$F86))</f>
        <v/>
      </c>
      <c r="H86" s="25" t="n"/>
      <c r="I86" s="25" t="n"/>
      <c r="J86" s="26" t="n"/>
    </row>
    <row r="87">
      <c r="A87" s="27" t="n"/>
      <c r="B87" s="25" t="n"/>
      <c r="C87" s="25" t="n"/>
      <c r="D87" s="25" t="n"/>
      <c r="E87" s="26" t="n"/>
      <c r="F87" s="30" t="n"/>
      <c r="G87" s="31">
        <f>IF($F87="","",IF($C87="Recette",$F87,-$F87))</f>
        <v/>
      </c>
      <c r="H87" s="25" t="n"/>
      <c r="I87" s="25" t="n"/>
      <c r="J87" s="26" t="n"/>
    </row>
    <row r="88">
      <c r="A88" s="27" t="n"/>
      <c r="B88" s="25" t="n"/>
      <c r="C88" s="25" t="n"/>
      <c r="D88" s="25" t="n"/>
      <c r="E88" s="26" t="n"/>
      <c r="F88" s="30" t="n"/>
      <c r="G88" s="31">
        <f>IF($F88="","",IF($C88="Recette",$F88,-$F88))</f>
        <v/>
      </c>
      <c r="H88" s="25" t="n"/>
      <c r="I88" s="25" t="n"/>
      <c r="J88" s="26" t="n"/>
    </row>
    <row r="89">
      <c r="A89" s="27" t="n"/>
      <c r="B89" s="25" t="n"/>
      <c r="C89" s="25" t="n"/>
      <c r="D89" s="25" t="n"/>
      <c r="E89" s="26" t="n"/>
      <c r="F89" s="30" t="n"/>
      <c r="G89" s="31">
        <f>IF($F89="","",IF($C89="Recette",$F89,-$F89))</f>
        <v/>
      </c>
      <c r="H89" s="25" t="n"/>
      <c r="I89" s="25" t="n"/>
      <c r="J89" s="26" t="n"/>
    </row>
    <row r="90">
      <c r="A90" s="27" t="n"/>
      <c r="B90" s="25" t="n"/>
      <c r="C90" s="25" t="n"/>
      <c r="D90" s="25" t="n"/>
      <c r="E90" s="26" t="n"/>
      <c r="F90" s="30" t="n"/>
      <c r="G90" s="31">
        <f>IF($F90="","",IF($C90="Recette",$F90,-$F90))</f>
        <v/>
      </c>
      <c r="H90" s="25" t="n"/>
      <c r="I90" s="25" t="n"/>
      <c r="J90" s="26" t="n"/>
    </row>
    <row r="91">
      <c r="A91" s="27" t="n"/>
      <c r="B91" s="25" t="n"/>
      <c r="C91" s="25" t="n"/>
      <c r="D91" s="25" t="n"/>
      <c r="E91" s="26" t="n"/>
      <c r="F91" s="30" t="n"/>
      <c r="G91" s="31">
        <f>IF($F91="","",IF($C91="Recette",$F91,-$F91))</f>
        <v/>
      </c>
      <c r="H91" s="25" t="n"/>
      <c r="I91" s="25" t="n"/>
      <c r="J91" s="26" t="n"/>
    </row>
    <row r="92">
      <c r="A92" s="27" t="n"/>
      <c r="B92" s="25" t="n"/>
      <c r="C92" s="25" t="n"/>
      <c r="D92" s="25" t="n"/>
      <c r="E92" s="26" t="n"/>
      <c r="F92" s="30" t="n"/>
      <c r="G92" s="31">
        <f>IF($F92="","",IF($C92="Recette",$F92,-$F92))</f>
        <v/>
      </c>
      <c r="H92" s="25" t="n"/>
      <c r="I92" s="25" t="n"/>
      <c r="J92" s="26" t="n"/>
    </row>
    <row r="93">
      <c r="A93" s="27" t="n"/>
      <c r="B93" s="25" t="n"/>
      <c r="C93" s="25" t="n"/>
      <c r="D93" s="25" t="n"/>
      <c r="E93" s="26" t="n"/>
      <c r="F93" s="30" t="n"/>
      <c r="G93" s="31">
        <f>IF($F93="","",IF($C93="Recette",$F93,-$F93))</f>
        <v/>
      </c>
      <c r="H93" s="25" t="n"/>
      <c r="I93" s="25" t="n"/>
      <c r="J93" s="26" t="n"/>
    </row>
    <row r="94">
      <c r="A94" s="27" t="n"/>
      <c r="B94" s="25" t="n"/>
      <c r="C94" s="25" t="n"/>
      <c r="D94" s="25" t="n"/>
      <c r="E94" s="26" t="n"/>
      <c r="F94" s="30" t="n"/>
      <c r="G94" s="31">
        <f>IF($F94="","",IF($C94="Recette",$F94,-$F94))</f>
        <v/>
      </c>
      <c r="H94" s="25" t="n"/>
      <c r="I94" s="25" t="n"/>
      <c r="J94" s="26" t="n"/>
    </row>
    <row r="95">
      <c r="A95" s="27" t="n"/>
      <c r="B95" s="25" t="n"/>
      <c r="C95" s="25" t="n"/>
      <c r="D95" s="25" t="n"/>
      <c r="E95" s="26" t="n"/>
      <c r="F95" s="30" t="n"/>
      <c r="G95" s="31">
        <f>IF($F95="","",IF($C95="Recette",$F95,-$F95))</f>
        <v/>
      </c>
      <c r="H95" s="25" t="n"/>
      <c r="I95" s="25" t="n"/>
      <c r="J95" s="26" t="n"/>
    </row>
    <row r="96">
      <c r="A96" s="27" t="n"/>
      <c r="B96" s="25" t="n"/>
      <c r="C96" s="25" t="n"/>
      <c r="D96" s="25" t="n"/>
      <c r="E96" s="26" t="n"/>
      <c r="F96" s="30" t="n"/>
      <c r="G96" s="31">
        <f>IF($F96="","",IF($C96="Recette",$F96,-$F96))</f>
        <v/>
      </c>
      <c r="H96" s="25" t="n"/>
      <c r="I96" s="25" t="n"/>
      <c r="J96" s="26" t="n"/>
    </row>
    <row r="97">
      <c r="A97" s="27" t="n"/>
      <c r="B97" s="25" t="n"/>
      <c r="C97" s="25" t="n"/>
      <c r="D97" s="25" t="n"/>
      <c r="E97" s="26" t="n"/>
      <c r="F97" s="30" t="n"/>
      <c r="G97" s="31">
        <f>IF($F97="","",IF($C97="Recette",$F97,-$F97))</f>
        <v/>
      </c>
      <c r="H97" s="25" t="n"/>
      <c r="I97" s="25" t="n"/>
      <c r="J97" s="26" t="n"/>
    </row>
    <row r="98">
      <c r="A98" s="27" t="n"/>
      <c r="B98" s="25" t="n"/>
      <c r="C98" s="25" t="n"/>
      <c r="D98" s="25" t="n"/>
      <c r="E98" s="26" t="n"/>
      <c r="F98" s="30" t="n"/>
      <c r="G98" s="31">
        <f>IF($F98="","",IF($C98="Recette",$F98,-$F98))</f>
        <v/>
      </c>
      <c r="H98" s="25" t="n"/>
      <c r="I98" s="25" t="n"/>
      <c r="J98" s="26" t="n"/>
    </row>
    <row r="99">
      <c r="A99" s="27" t="n"/>
      <c r="B99" s="25" t="n"/>
      <c r="C99" s="25" t="n"/>
      <c r="D99" s="25" t="n"/>
      <c r="E99" s="26" t="n"/>
      <c r="F99" s="30" t="n"/>
      <c r="G99" s="31">
        <f>IF($F99="","",IF($C99="Recette",$F99,-$F99))</f>
        <v/>
      </c>
      <c r="H99" s="25" t="n"/>
      <c r="I99" s="25" t="n"/>
      <c r="J99" s="26" t="n"/>
    </row>
    <row r="100">
      <c r="A100" s="27" t="n"/>
      <c r="B100" s="25" t="n"/>
      <c r="C100" s="25" t="n"/>
      <c r="D100" s="25" t="n"/>
      <c r="E100" s="26" t="n"/>
      <c r="F100" s="30" t="n"/>
      <c r="G100" s="31">
        <f>IF($F100="","",IF($C100="Recette",$F100,-$F100))</f>
        <v/>
      </c>
      <c r="H100" s="25" t="n"/>
      <c r="I100" s="25" t="n"/>
      <c r="J100" s="26" t="n"/>
    </row>
    <row r="101">
      <c r="A101" s="27" t="n"/>
      <c r="B101" s="25" t="n"/>
      <c r="C101" s="25" t="n"/>
      <c r="D101" s="25" t="n"/>
      <c r="E101" s="26" t="n"/>
      <c r="F101" s="30" t="n"/>
      <c r="G101" s="31">
        <f>IF($F101="","",IF($C101="Recette",$F101,-$F101))</f>
        <v/>
      </c>
      <c r="H101" s="25" t="n"/>
      <c r="I101" s="25" t="n"/>
      <c r="J101" s="26" t="n"/>
    </row>
    <row r="102">
      <c r="A102" s="27" t="n"/>
      <c r="B102" s="25" t="n"/>
      <c r="C102" s="25" t="n"/>
      <c r="D102" s="25" t="n"/>
      <c r="E102" s="26" t="n"/>
      <c r="F102" s="30" t="n"/>
      <c r="G102" s="31">
        <f>IF($F102="","",IF($C102="Recette",$F102,-$F102))</f>
        <v/>
      </c>
      <c r="H102" s="25" t="n"/>
      <c r="I102" s="25" t="n"/>
      <c r="J102" s="26" t="n"/>
    </row>
    <row r="103">
      <c r="A103" s="27" t="n"/>
      <c r="B103" s="25" t="n"/>
      <c r="C103" s="25" t="n"/>
      <c r="D103" s="25" t="n"/>
      <c r="E103" s="26" t="n"/>
      <c r="F103" s="30" t="n"/>
      <c r="G103" s="31">
        <f>IF($F103="","",IF($C103="Recette",$F103,-$F103))</f>
        <v/>
      </c>
      <c r="H103" s="25" t="n"/>
      <c r="I103" s="25" t="n"/>
      <c r="J103" s="26" t="n"/>
    </row>
    <row r="104">
      <c r="A104" s="27" t="n"/>
      <c r="B104" s="25" t="n"/>
      <c r="C104" s="25" t="n"/>
      <c r="D104" s="25" t="n"/>
      <c r="E104" s="26" t="n"/>
      <c r="F104" s="30" t="n"/>
      <c r="G104" s="31">
        <f>IF($F104="","",IF($C104="Recette",$F104,-$F104))</f>
        <v/>
      </c>
      <c r="H104" s="25" t="n"/>
      <c r="I104" s="25" t="n"/>
      <c r="J104" s="26" t="n"/>
    </row>
    <row r="105">
      <c r="A105" s="27" t="n"/>
      <c r="B105" s="25" t="n"/>
      <c r="C105" s="25" t="n"/>
      <c r="D105" s="25" t="n"/>
      <c r="E105" s="26" t="n"/>
      <c r="F105" s="30" t="n"/>
      <c r="G105" s="31">
        <f>IF($F105="","",IF($C105="Recette",$F105,-$F105))</f>
        <v/>
      </c>
      <c r="H105" s="25" t="n"/>
      <c r="I105" s="25" t="n"/>
      <c r="J105" s="26" t="n"/>
    </row>
    <row r="106">
      <c r="A106" s="27" t="n"/>
      <c r="B106" s="25" t="n"/>
      <c r="C106" s="25" t="n"/>
      <c r="D106" s="25" t="n"/>
      <c r="E106" s="26" t="n"/>
      <c r="F106" s="30" t="n"/>
      <c r="G106" s="31">
        <f>IF($F106="","",IF($C106="Recette",$F106,-$F106))</f>
        <v/>
      </c>
      <c r="H106" s="25" t="n"/>
      <c r="I106" s="25" t="n"/>
      <c r="J106" s="26" t="n"/>
    </row>
    <row r="107">
      <c r="A107" s="27" t="n"/>
      <c r="B107" s="25" t="n"/>
      <c r="C107" s="25" t="n"/>
      <c r="D107" s="25" t="n"/>
      <c r="E107" s="26" t="n"/>
      <c r="F107" s="30" t="n"/>
      <c r="G107" s="31">
        <f>IF($F107="","",IF($C107="Recette",$F107,-$F107))</f>
        <v/>
      </c>
      <c r="H107" s="25" t="n"/>
      <c r="I107" s="25" t="n"/>
      <c r="J107" s="26" t="n"/>
    </row>
    <row r="108">
      <c r="A108" s="27" t="n"/>
      <c r="B108" s="25" t="n"/>
      <c r="C108" s="25" t="n"/>
      <c r="D108" s="25" t="n"/>
      <c r="E108" s="26" t="n"/>
      <c r="F108" s="30" t="n"/>
      <c r="G108" s="31">
        <f>IF($F108="","",IF($C108="Recette",$F108,-$F108))</f>
        <v/>
      </c>
      <c r="H108" s="25" t="n"/>
      <c r="I108" s="25" t="n"/>
      <c r="J108" s="26" t="n"/>
    </row>
    <row r="109">
      <c r="A109" s="27" t="n"/>
      <c r="B109" s="25" t="n"/>
      <c r="C109" s="25" t="n"/>
      <c r="D109" s="25" t="n"/>
      <c r="E109" s="26" t="n"/>
      <c r="F109" s="30" t="n"/>
      <c r="G109" s="31">
        <f>IF($F109="","",IF($C109="Recette",$F109,-$F109))</f>
        <v/>
      </c>
      <c r="H109" s="25" t="n"/>
      <c r="I109" s="25" t="n"/>
      <c r="J109" s="26" t="n"/>
    </row>
    <row r="110">
      <c r="A110" s="27" t="n"/>
      <c r="B110" s="25" t="n"/>
      <c r="C110" s="25" t="n"/>
      <c r="D110" s="25" t="n"/>
      <c r="E110" s="26" t="n"/>
      <c r="F110" s="30" t="n"/>
      <c r="G110" s="31">
        <f>IF($F110="","",IF($C110="Recette",$F110,-$F110))</f>
        <v/>
      </c>
      <c r="H110" s="25" t="n"/>
      <c r="I110" s="25" t="n"/>
      <c r="J110" s="26" t="n"/>
    </row>
    <row r="111">
      <c r="A111" s="27" t="n"/>
      <c r="B111" s="25" t="n"/>
      <c r="C111" s="25" t="n"/>
      <c r="D111" s="25" t="n"/>
      <c r="E111" s="26" t="n"/>
      <c r="F111" s="30" t="n"/>
      <c r="G111" s="31">
        <f>IF($F111="","",IF($C111="Recette",$F111,-$F111))</f>
        <v/>
      </c>
      <c r="H111" s="25" t="n"/>
      <c r="I111" s="25" t="n"/>
      <c r="J111" s="26" t="n"/>
    </row>
    <row r="112">
      <c r="A112" s="27" t="n"/>
      <c r="B112" s="25" t="n"/>
      <c r="C112" s="25" t="n"/>
      <c r="D112" s="25" t="n"/>
      <c r="E112" s="26" t="n"/>
      <c r="F112" s="30" t="n"/>
      <c r="G112" s="31">
        <f>IF($F112="","",IF($C112="Recette",$F112,-$F112))</f>
        <v/>
      </c>
      <c r="H112" s="25" t="n"/>
      <c r="I112" s="25" t="n"/>
      <c r="J112" s="26" t="n"/>
    </row>
    <row r="113">
      <c r="A113" s="27" t="n"/>
      <c r="B113" s="25" t="n"/>
      <c r="C113" s="25" t="n"/>
      <c r="D113" s="25" t="n"/>
      <c r="E113" s="26" t="n"/>
      <c r="F113" s="30" t="n"/>
      <c r="G113" s="31">
        <f>IF($F113="","",IF($C113="Recette",$F113,-$F113))</f>
        <v/>
      </c>
      <c r="H113" s="25" t="n"/>
      <c r="I113" s="25" t="n"/>
      <c r="J113" s="26" t="n"/>
    </row>
    <row r="114">
      <c r="A114" s="27" t="n"/>
      <c r="B114" s="25" t="n"/>
      <c r="C114" s="25" t="n"/>
      <c r="D114" s="25" t="n"/>
      <c r="E114" s="26" t="n"/>
      <c r="F114" s="30" t="n"/>
      <c r="G114" s="31">
        <f>IF($F114="","",IF($C114="Recette",$F114,-$F114))</f>
        <v/>
      </c>
      <c r="H114" s="25" t="n"/>
      <c r="I114" s="25" t="n"/>
      <c r="J114" s="26" t="n"/>
    </row>
    <row r="115">
      <c r="A115" s="27" t="n"/>
      <c r="B115" s="25" t="n"/>
      <c r="C115" s="25" t="n"/>
      <c r="D115" s="25" t="n"/>
      <c r="E115" s="26" t="n"/>
      <c r="F115" s="30" t="n"/>
      <c r="G115" s="31">
        <f>IF($F115="","",IF($C115="Recette",$F115,-$F115))</f>
        <v/>
      </c>
      <c r="H115" s="25" t="n"/>
      <c r="I115" s="25" t="n"/>
      <c r="J115" s="26" t="n"/>
    </row>
    <row r="116">
      <c r="A116" s="27" t="n"/>
      <c r="B116" s="25" t="n"/>
      <c r="C116" s="25" t="n"/>
      <c r="D116" s="25" t="n"/>
      <c r="E116" s="26" t="n"/>
      <c r="F116" s="30" t="n"/>
      <c r="G116" s="31">
        <f>IF($F116="","",IF($C116="Recette",$F116,-$F116))</f>
        <v/>
      </c>
      <c r="H116" s="25" t="n"/>
      <c r="I116" s="25" t="n"/>
      <c r="J116" s="26" t="n"/>
    </row>
    <row r="117">
      <c r="A117" s="27" t="n"/>
      <c r="B117" s="25" t="n"/>
      <c r="C117" s="25" t="n"/>
      <c r="D117" s="25" t="n"/>
      <c r="E117" s="26" t="n"/>
      <c r="F117" s="30" t="n"/>
      <c r="G117" s="31">
        <f>IF($F117="","",IF($C117="Recette",$F117,-$F117))</f>
        <v/>
      </c>
      <c r="H117" s="25" t="n"/>
      <c r="I117" s="25" t="n"/>
      <c r="J117" s="26" t="n"/>
    </row>
    <row r="118">
      <c r="A118" s="27" t="n"/>
      <c r="B118" s="25" t="n"/>
      <c r="C118" s="25" t="n"/>
      <c r="D118" s="25" t="n"/>
      <c r="E118" s="26" t="n"/>
      <c r="F118" s="30" t="n"/>
      <c r="G118" s="31">
        <f>IF($F118="","",IF($C118="Recette",$F118,-$F118))</f>
        <v/>
      </c>
      <c r="H118" s="25" t="n"/>
      <c r="I118" s="25" t="n"/>
      <c r="J118" s="26" t="n"/>
    </row>
    <row r="119">
      <c r="A119" s="27" t="n"/>
      <c r="B119" s="25" t="n"/>
      <c r="C119" s="25" t="n"/>
      <c r="D119" s="25" t="n"/>
      <c r="E119" s="26" t="n"/>
      <c r="F119" s="30" t="n"/>
      <c r="G119" s="31">
        <f>IF($F119="","",IF($C119="Recette",$F119,-$F119))</f>
        <v/>
      </c>
      <c r="H119" s="25" t="n"/>
      <c r="I119" s="25" t="n"/>
      <c r="J119" s="26" t="n"/>
    </row>
    <row r="120">
      <c r="A120" s="27" t="n"/>
      <c r="B120" s="25" t="n"/>
      <c r="C120" s="25" t="n"/>
      <c r="D120" s="25" t="n"/>
      <c r="E120" s="26" t="n"/>
      <c r="F120" s="30" t="n"/>
      <c r="G120" s="31">
        <f>IF($F120="","",IF($C120="Recette",$F120,-$F120))</f>
        <v/>
      </c>
      <c r="H120" s="25" t="n"/>
      <c r="I120" s="25" t="n"/>
      <c r="J120" s="26" t="n"/>
    </row>
    <row r="121">
      <c r="A121" s="27" t="n"/>
      <c r="B121" s="25" t="n"/>
      <c r="C121" s="25" t="n"/>
      <c r="D121" s="25" t="n"/>
      <c r="E121" s="26" t="n"/>
      <c r="F121" s="30" t="n"/>
      <c r="G121" s="31">
        <f>IF($F121="","",IF($C121="Recette",$F121,-$F121))</f>
        <v/>
      </c>
      <c r="H121" s="25" t="n"/>
      <c r="I121" s="25" t="n"/>
      <c r="J121" s="26" t="n"/>
    </row>
    <row r="122">
      <c r="A122" s="27" t="n"/>
      <c r="B122" s="25" t="n"/>
      <c r="C122" s="25" t="n"/>
      <c r="D122" s="25" t="n"/>
      <c r="E122" s="26" t="n"/>
      <c r="F122" s="30" t="n"/>
      <c r="G122" s="31">
        <f>IF($F122="","",IF($C122="Recette",$F122,-$F122))</f>
        <v/>
      </c>
      <c r="H122" s="25" t="n"/>
      <c r="I122" s="25" t="n"/>
      <c r="J122" s="26" t="n"/>
    </row>
    <row r="123">
      <c r="A123" s="27" t="n"/>
      <c r="B123" s="25" t="n"/>
      <c r="C123" s="25" t="n"/>
      <c r="D123" s="25" t="n"/>
      <c r="E123" s="26" t="n"/>
      <c r="F123" s="30" t="n"/>
      <c r="G123" s="31">
        <f>IF($F123="","",IF($C123="Recette",$F123,-$F123))</f>
        <v/>
      </c>
      <c r="H123" s="25" t="n"/>
      <c r="I123" s="25" t="n"/>
      <c r="J123" s="26" t="n"/>
    </row>
    <row r="124">
      <c r="A124" s="27" t="n"/>
      <c r="B124" s="25" t="n"/>
      <c r="C124" s="25" t="n"/>
      <c r="D124" s="25" t="n"/>
      <c r="E124" s="26" t="n"/>
      <c r="F124" s="30" t="n"/>
      <c r="G124" s="31">
        <f>IF($F124="","",IF($C124="Recette",$F124,-$F124))</f>
        <v/>
      </c>
      <c r="H124" s="25" t="n"/>
      <c r="I124" s="25" t="n"/>
      <c r="J124" s="26" t="n"/>
    </row>
    <row r="125">
      <c r="A125" s="27" t="n"/>
      <c r="B125" s="25" t="n"/>
      <c r="C125" s="25" t="n"/>
      <c r="D125" s="25" t="n"/>
      <c r="E125" s="26" t="n"/>
      <c r="F125" s="30" t="n"/>
      <c r="G125" s="31">
        <f>IF($F125="","",IF($C125="Recette",$F125,-$F125))</f>
        <v/>
      </c>
      <c r="H125" s="25" t="n"/>
      <c r="I125" s="25" t="n"/>
      <c r="J125" s="26" t="n"/>
    </row>
    <row r="126">
      <c r="A126" s="27" t="n"/>
      <c r="B126" s="25" t="n"/>
      <c r="C126" s="25" t="n"/>
      <c r="D126" s="25" t="n"/>
      <c r="E126" s="26" t="n"/>
      <c r="F126" s="30" t="n"/>
      <c r="G126" s="31">
        <f>IF($F126="","",IF($C126="Recette",$F126,-$F126))</f>
        <v/>
      </c>
      <c r="H126" s="25" t="n"/>
      <c r="I126" s="25" t="n"/>
      <c r="J126" s="26" t="n"/>
    </row>
    <row r="127">
      <c r="A127" s="27" t="n"/>
      <c r="B127" s="25" t="n"/>
      <c r="C127" s="25" t="n"/>
      <c r="D127" s="25" t="n"/>
      <c r="E127" s="26" t="n"/>
      <c r="F127" s="30" t="n"/>
      <c r="G127" s="31">
        <f>IF($F127="","",IF($C127="Recette",$F127,-$F127))</f>
        <v/>
      </c>
      <c r="H127" s="25" t="n"/>
      <c r="I127" s="25" t="n"/>
      <c r="J127" s="26" t="n"/>
    </row>
    <row r="128">
      <c r="A128" s="27" t="n"/>
      <c r="B128" s="25" t="n"/>
      <c r="C128" s="25" t="n"/>
      <c r="D128" s="25" t="n"/>
      <c r="E128" s="26" t="n"/>
      <c r="F128" s="30" t="n"/>
      <c r="G128" s="31">
        <f>IF($F128="","",IF($C128="Recette",$F128,-$F128))</f>
        <v/>
      </c>
      <c r="H128" s="25" t="n"/>
      <c r="I128" s="25" t="n"/>
      <c r="J128" s="26" t="n"/>
    </row>
    <row r="129">
      <c r="A129" s="27" t="n"/>
      <c r="B129" s="25" t="n"/>
      <c r="C129" s="25" t="n"/>
      <c r="D129" s="25" t="n"/>
      <c r="E129" s="26" t="n"/>
      <c r="F129" s="30" t="n"/>
      <c r="G129" s="31">
        <f>IF($F129="","",IF($C129="Recette",$F129,-$F129))</f>
        <v/>
      </c>
      <c r="H129" s="25" t="n"/>
      <c r="I129" s="25" t="n"/>
      <c r="J129" s="26" t="n"/>
    </row>
    <row r="130">
      <c r="A130" s="27" t="n"/>
      <c r="B130" s="25" t="n"/>
      <c r="C130" s="25" t="n"/>
      <c r="D130" s="25" t="n"/>
      <c r="E130" s="26" t="n"/>
      <c r="F130" s="30" t="n"/>
      <c r="G130" s="31">
        <f>IF($F130="","",IF($C130="Recette",$F130,-$F130))</f>
        <v/>
      </c>
      <c r="H130" s="25" t="n"/>
      <c r="I130" s="25" t="n"/>
      <c r="J130" s="26" t="n"/>
    </row>
    <row r="131">
      <c r="A131" s="27" t="n"/>
      <c r="B131" s="25" t="n"/>
      <c r="C131" s="25" t="n"/>
      <c r="D131" s="25" t="n"/>
      <c r="E131" s="26" t="n"/>
      <c r="F131" s="30" t="n"/>
      <c r="G131" s="31">
        <f>IF($F131="","",IF($C131="Recette",$F131,-$F131))</f>
        <v/>
      </c>
      <c r="H131" s="25" t="n"/>
      <c r="I131" s="25" t="n"/>
      <c r="J131" s="26" t="n"/>
    </row>
    <row r="132">
      <c r="A132" s="27" t="n"/>
      <c r="B132" s="25" t="n"/>
      <c r="C132" s="25" t="n"/>
      <c r="D132" s="25" t="n"/>
      <c r="E132" s="26" t="n"/>
      <c r="F132" s="30" t="n"/>
      <c r="G132" s="31">
        <f>IF($F132="","",IF($C132="Recette",$F132,-$F132))</f>
        <v/>
      </c>
      <c r="H132" s="25" t="n"/>
      <c r="I132" s="25" t="n"/>
      <c r="J132" s="26" t="n"/>
    </row>
    <row r="133">
      <c r="A133" s="27" t="n"/>
      <c r="B133" s="25" t="n"/>
      <c r="C133" s="25" t="n"/>
      <c r="D133" s="25" t="n"/>
      <c r="E133" s="26" t="n"/>
      <c r="F133" s="30" t="n"/>
      <c r="G133" s="31">
        <f>IF($F133="","",IF($C133="Recette",$F133,-$F133))</f>
        <v/>
      </c>
      <c r="H133" s="25" t="n"/>
      <c r="I133" s="25" t="n"/>
      <c r="J133" s="26" t="n"/>
    </row>
    <row r="134">
      <c r="A134" s="27" t="n"/>
      <c r="B134" s="25" t="n"/>
      <c r="C134" s="25" t="n"/>
      <c r="D134" s="25" t="n"/>
      <c r="E134" s="26" t="n"/>
      <c r="F134" s="30" t="n"/>
      <c r="G134" s="31">
        <f>IF($F134="","",IF($C134="Recette",$F134,-$F134))</f>
        <v/>
      </c>
      <c r="H134" s="25" t="n"/>
      <c r="I134" s="25" t="n"/>
      <c r="J134" s="26" t="n"/>
    </row>
    <row r="135">
      <c r="A135" s="27" t="n"/>
      <c r="B135" s="25" t="n"/>
      <c r="C135" s="25" t="n"/>
      <c r="D135" s="25" t="n"/>
      <c r="E135" s="26" t="n"/>
      <c r="F135" s="30" t="n"/>
      <c r="G135" s="31">
        <f>IF($F135="","",IF($C135="Recette",$F135,-$F135))</f>
        <v/>
      </c>
      <c r="H135" s="25" t="n"/>
      <c r="I135" s="25" t="n"/>
      <c r="J135" s="26" t="n"/>
    </row>
    <row r="136">
      <c r="A136" s="27" t="n"/>
      <c r="B136" s="25" t="n"/>
      <c r="C136" s="25" t="n"/>
      <c r="D136" s="25" t="n"/>
      <c r="E136" s="26" t="n"/>
      <c r="F136" s="30" t="n"/>
      <c r="G136" s="31">
        <f>IF($F136="","",IF($C136="Recette",$F136,-$F136))</f>
        <v/>
      </c>
      <c r="H136" s="25" t="n"/>
      <c r="I136" s="25" t="n"/>
      <c r="J136" s="26" t="n"/>
    </row>
    <row r="137">
      <c r="A137" s="27" t="n"/>
      <c r="B137" s="25" t="n"/>
      <c r="C137" s="25" t="n"/>
      <c r="D137" s="25" t="n"/>
      <c r="E137" s="26" t="n"/>
      <c r="F137" s="30" t="n"/>
      <c r="G137" s="31">
        <f>IF($F137="","",IF($C137="Recette",$F137,-$F137))</f>
        <v/>
      </c>
      <c r="H137" s="25" t="n"/>
      <c r="I137" s="25" t="n"/>
      <c r="J137" s="26" t="n"/>
    </row>
    <row r="138">
      <c r="A138" s="27" t="n"/>
      <c r="B138" s="25" t="n"/>
      <c r="C138" s="25" t="n"/>
      <c r="D138" s="25" t="n"/>
      <c r="E138" s="26" t="n"/>
      <c r="F138" s="30" t="n"/>
      <c r="G138" s="31">
        <f>IF($F138="","",IF($C138="Recette",$F138,-$F138))</f>
        <v/>
      </c>
      <c r="H138" s="25" t="n"/>
      <c r="I138" s="25" t="n"/>
      <c r="J138" s="26" t="n"/>
    </row>
    <row r="139">
      <c r="A139" s="27" t="n"/>
      <c r="B139" s="25" t="n"/>
      <c r="C139" s="25" t="n"/>
      <c r="D139" s="25" t="n"/>
      <c r="E139" s="26" t="n"/>
      <c r="F139" s="30" t="n"/>
      <c r="G139" s="31">
        <f>IF($F139="","",IF($C139="Recette",$F139,-$F139))</f>
        <v/>
      </c>
      <c r="H139" s="25" t="n"/>
      <c r="I139" s="25" t="n"/>
      <c r="J139" s="26" t="n"/>
    </row>
    <row r="140">
      <c r="A140" s="27" t="n"/>
      <c r="B140" s="25" t="n"/>
      <c r="C140" s="25" t="n"/>
      <c r="D140" s="25" t="n"/>
      <c r="E140" s="26" t="n"/>
      <c r="F140" s="30" t="n"/>
      <c r="G140" s="31">
        <f>IF($F140="","",IF($C140="Recette",$F140,-$F140))</f>
        <v/>
      </c>
      <c r="H140" s="25" t="n"/>
      <c r="I140" s="25" t="n"/>
      <c r="J140" s="26" t="n"/>
    </row>
    <row r="141">
      <c r="A141" s="27" t="n"/>
      <c r="B141" s="25" t="n"/>
      <c r="C141" s="25" t="n"/>
      <c r="D141" s="25" t="n"/>
      <c r="E141" s="26" t="n"/>
      <c r="F141" s="30" t="n"/>
      <c r="G141" s="31">
        <f>IF($F141="","",IF($C141="Recette",$F141,-$F141))</f>
        <v/>
      </c>
      <c r="H141" s="25" t="n"/>
      <c r="I141" s="25" t="n"/>
      <c r="J141" s="26" t="n"/>
    </row>
    <row r="142">
      <c r="A142" s="27" t="n"/>
      <c r="B142" s="25" t="n"/>
      <c r="C142" s="25" t="n"/>
      <c r="D142" s="25" t="n"/>
      <c r="E142" s="26" t="n"/>
      <c r="F142" s="30" t="n"/>
      <c r="G142" s="31">
        <f>IF($F142="","",IF($C142="Recette",$F142,-$F142))</f>
        <v/>
      </c>
      <c r="H142" s="25" t="n"/>
      <c r="I142" s="25" t="n"/>
      <c r="J142" s="26" t="n"/>
    </row>
    <row r="143">
      <c r="A143" s="27" t="n"/>
      <c r="B143" s="25" t="n"/>
      <c r="C143" s="25" t="n"/>
      <c r="D143" s="25" t="n"/>
      <c r="E143" s="26" t="n"/>
      <c r="F143" s="30" t="n"/>
      <c r="G143" s="31">
        <f>IF($F143="","",IF($C143="Recette",$F143,-$F143))</f>
        <v/>
      </c>
      <c r="H143" s="25" t="n"/>
      <c r="I143" s="25" t="n"/>
      <c r="J143" s="26" t="n"/>
    </row>
    <row r="144">
      <c r="A144" s="27" t="n"/>
      <c r="B144" s="25" t="n"/>
      <c r="C144" s="25" t="n"/>
      <c r="D144" s="25" t="n"/>
      <c r="E144" s="26" t="n"/>
      <c r="F144" s="30" t="n"/>
      <c r="G144" s="31">
        <f>IF($F144="","",IF($C144="Recette",$F144,-$F144))</f>
        <v/>
      </c>
      <c r="H144" s="25" t="n"/>
      <c r="I144" s="25" t="n"/>
      <c r="J144" s="26" t="n"/>
    </row>
    <row r="145">
      <c r="A145" s="27" t="n"/>
      <c r="B145" s="25" t="n"/>
      <c r="C145" s="25" t="n"/>
      <c r="D145" s="25" t="n"/>
      <c r="E145" s="26" t="n"/>
      <c r="F145" s="30" t="n"/>
      <c r="G145" s="31">
        <f>IF($F145="","",IF($C145="Recette",$F145,-$F145))</f>
        <v/>
      </c>
      <c r="H145" s="25" t="n"/>
      <c r="I145" s="25" t="n"/>
      <c r="J145" s="26" t="n"/>
    </row>
    <row r="146">
      <c r="A146" s="27" t="n"/>
      <c r="B146" s="25" t="n"/>
      <c r="C146" s="25" t="n"/>
      <c r="D146" s="25" t="n"/>
      <c r="E146" s="26" t="n"/>
      <c r="F146" s="30" t="n"/>
      <c r="G146" s="31">
        <f>IF($F146="","",IF($C146="Recette",$F146,-$F146))</f>
        <v/>
      </c>
      <c r="H146" s="25" t="n"/>
      <c r="I146" s="25" t="n"/>
      <c r="J146" s="26" t="n"/>
    </row>
    <row r="147">
      <c r="A147" s="27" t="n"/>
      <c r="B147" s="25" t="n"/>
      <c r="C147" s="25" t="n"/>
      <c r="D147" s="25" t="n"/>
      <c r="E147" s="26" t="n"/>
      <c r="F147" s="30" t="n"/>
      <c r="G147" s="31">
        <f>IF($F147="","",IF($C147="Recette",$F147,-$F147))</f>
        <v/>
      </c>
      <c r="H147" s="25" t="n"/>
      <c r="I147" s="25" t="n"/>
      <c r="J147" s="26" t="n"/>
    </row>
    <row r="148">
      <c r="A148" s="27" t="n"/>
      <c r="B148" s="25" t="n"/>
      <c r="C148" s="25" t="n"/>
      <c r="D148" s="25" t="n"/>
      <c r="E148" s="26" t="n"/>
      <c r="F148" s="30" t="n"/>
      <c r="G148" s="31">
        <f>IF($F148="","",IF($C148="Recette",$F148,-$F148))</f>
        <v/>
      </c>
      <c r="H148" s="25" t="n"/>
      <c r="I148" s="25" t="n"/>
      <c r="J148" s="26" t="n"/>
    </row>
    <row r="149">
      <c r="A149" s="27" t="n"/>
      <c r="B149" s="25" t="n"/>
      <c r="C149" s="25" t="n"/>
      <c r="D149" s="25" t="n"/>
      <c r="E149" s="26" t="n"/>
      <c r="F149" s="30" t="n"/>
      <c r="G149" s="31">
        <f>IF($F149="","",IF($C149="Recette",$F149,-$F149))</f>
        <v/>
      </c>
      <c r="H149" s="25" t="n"/>
      <c r="I149" s="25" t="n"/>
      <c r="J149" s="26" t="n"/>
    </row>
    <row r="150">
      <c r="A150" s="27" t="n"/>
      <c r="B150" s="25" t="n"/>
      <c r="C150" s="25" t="n"/>
      <c r="D150" s="25" t="n"/>
      <c r="E150" s="26" t="n"/>
      <c r="F150" s="30" t="n"/>
      <c r="G150" s="31">
        <f>IF($F150="","",IF($C150="Recette",$F150,-$F150))</f>
        <v/>
      </c>
      <c r="H150" s="25" t="n"/>
      <c r="I150" s="25" t="n"/>
      <c r="J150" s="26" t="n"/>
    </row>
    <row r="151">
      <c r="A151" s="27" t="n"/>
      <c r="B151" s="25" t="n"/>
      <c r="C151" s="25" t="n"/>
      <c r="D151" s="25" t="n"/>
      <c r="E151" s="26" t="n"/>
      <c r="F151" s="30" t="n"/>
      <c r="G151" s="31">
        <f>IF($F151="","",IF($C151="Recette",$F151,-$F151))</f>
        <v/>
      </c>
      <c r="H151" s="25" t="n"/>
      <c r="I151" s="25" t="n"/>
      <c r="J151" s="26" t="n"/>
    </row>
    <row r="152">
      <c r="A152" s="27" t="n"/>
      <c r="B152" s="25" t="n"/>
      <c r="C152" s="25" t="n"/>
      <c r="D152" s="25" t="n"/>
      <c r="E152" s="26" t="n"/>
      <c r="F152" s="30" t="n"/>
      <c r="G152" s="31">
        <f>IF($F152="","",IF($C152="Recette",$F152,-$F152))</f>
        <v/>
      </c>
      <c r="H152" s="25" t="n"/>
      <c r="I152" s="25" t="n"/>
      <c r="J152" s="26" t="n"/>
    </row>
    <row r="153">
      <c r="A153" s="27" t="n"/>
      <c r="B153" s="25" t="n"/>
      <c r="C153" s="25" t="n"/>
      <c r="D153" s="25" t="n"/>
      <c r="E153" s="26" t="n"/>
      <c r="F153" s="30" t="n"/>
      <c r="G153" s="31">
        <f>IF($F153="","",IF($C153="Recette",$F153,-$F153))</f>
        <v/>
      </c>
      <c r="H153" s="25" t="n"/>
      <c r="I153" s="25" t="n"/>
      <c r="J153" s="26" t="n"/>
    </row>
    <row r="154">
      <c r="A154" s="27" t="n"/>
      <c r="B154" s="25" t="n"/>
      <c r="C154" s="25" t="n"/>
      <c r="D154" s="25" t="n"/>
      <c r="E154" s="26" t="n"/>
      <c r="F154" s="30" t="n"/>
      <c r="G154" s="31">
        <f>IF($F154="","",IF($C154="Recette",$F154,-$F154))</f>
        <v/>
      </c>
      <c r="H154" s="25" t="n"/>
      <c r="I154" s="25" t="n"/>
      <c r="J154" s="26" t="n"/>
    </row>
    <row r="155">
      <c r="A155" s="27" t="n"/>
      <c r="B155" s="25" t="n"/>
      <c r="C155" s="25" t="n"/>
      <c r="D155" s="25" t="n"/>
      <c r="E155" s="26" t="n"/>
      <c r="F155" s="30" t="n"/>
      <c r="G155" s="31">
        <f>IF($F155="","",IF($C155="Recette",$F155,-$F155))</f>
        <v/>
      </c>
      <c r="H155" s="25" t="n"/>
      <c r="I155" s="25" t="n"/>
      <c r="J155" s="26" t="n"/>
    </row>
    <row r="156">
      <c r="A156" s="27" t="n"/>
      <c r="B156" s="25" t="n"/>
      <c r="C156" s="25" t="n"/>
      <c r="D156" s="25" t="n"/>
      <c r="E156" s="26" t="n"/>
      <c r="F156" s="30" t="n"/>
      <c r="G156" s="31">
        <f>IF($F156="","",IF($C156="Recette",$F156,-$F156))</f>
        <v/>
      </c>
      <c r="H156" s="25" t="n"/>
      <c r="I156" s="25" t="n"/>
      <c r="J156" s="26" t="n"/>
    </row>
    <row r="157">
      <c r="A157" s="27" t="n"/>
      <c r="B157" s="25" t="n"/>
      <c r="C157" s="25" t="n"/>
      <c r="D157" s="25" t="n"/>
      <c r="E157" s="26" t="n"/>
      <c r="F157" s="30" t="n"/>
      <c r="G157" s="31">
        <f>IF($F157="","",IF($C157="Recette",$F157,-$F157))</f>
        <v/>
      </c>
      <c r="H157" s="25" t="n"/>
      <c r="I157" s="25" t="n"/>
      <c r="J157" s="26" t="n"/>
    </row>
    <row r="158">
      <c r="A158" s="27" t="n"/>
      <c r="B158" s="25" t="n"/>
      <c r="C158" s="25" t="n"/>
      <c r="D158" s="25" t="n"/>
      <c r="E158" s="26" t="n"/>
      <c r="F158" s="30" t="n"/>
      <c r="G158" s="31">
        <f>IF($F158="","",IF($C158="Recette",$F158,-$F158))</f>
        <v/>
      </c>
      <c r="H158" s="25" t="n"/>
      <c r="I158" s="25" t="n"/>
      <c r="J158" s="26" t="n"/>
    </row>
    <row r="159">
      <c r="A159" s="27" t="n"/>
      <c r="B159" s="25" t="n"/>
      <c r="C159" s="25" t="n"/>
      <c r="D159" s="25" t="n"/>
      <c r="E159" s="26" t="n"/>
      <c r="F159" s="30" t="n"/>
      <c r="G159" s="31">
        <f>IF($F159="","",IF($C159="Recette",$F159,-$F159))</f>
        <v/>
      </c>
      <c r="H159" s="25" t="n"/>
      <c r="I159" s="25" t="n"/>
      <c r="J159" s="26" t="n"/>
    </row>
    <row r="160">
      <c r="A160" s="27" t="n"/>
      <c r="B160" s="25" t="n"/>
      <c r="C160" s="25" t="n"/>
      <c r="D160" s="25" t="n"/>
      <c r="E160" s="26" t="n"/>
      <c r="F160" s="30" t="n"/>
      <c r="G160" s="31">
        <f>IF($F160="","",IF($C160="Recette",$F160,-$F160))</f>
        <v/>
      </c>
      <c r="H160" s="25" t="n"/>
      <c r="I160" s="25" t="n"/>
      <c r="J160" s="26" t="n"/>
    </row>
    <row r="161">
      <c r="A161" s="27" t="n"/>
      <c r="B161" s="25" t="n"/>
      <c r="C161" s="25" t="n"/>
      <c r="D161" s="25" t="n"/>
      <c r="E161" s="26" t="n"/>
      <c r="F161" s="30" t="n"/>
      <c r="G161" s="31">
        <f>IF($F161="","",IF($C161="Recette",$F161,-$F161))</f>
        <v/>
      </c>
      <c r="H161" s="25" t="n"/>
      <c r="I161" s="25" t="n"/>
      <c r="J161" s="26" t="n"/>
    </row>
    <row r="162">
      <c r="A162" s="27" t="n"/>
      <c r="B162" s="25" t="n"/>
      <c r="C162" s="25" t="n"/>
      <c r="D162" s="25" t="n"/>
      <c r="E162" s="26" t="n"/>
      <c r="F162" s="30" t="n"/>
      <c r="G162" s="31">
        <f>IF($F162="","",IF($C162="Recette",$F162,-$F162))</f>
        <v/>
      </c>
      <c r="H162" s="25" t="n"/>
      <c r="I162" s="25" t="n"/>
      <c r="J162" s="26" t="n"/>
    </row>
    <row r="163">
      <c r="A163" s="27" t="n"/>
      <c r="B163" s="25" t="n"/>
      <c r="C163" s="25" t="n"/>
      <c r="D163" s="25" t="n"/>
      <c r="E163" s="26" t="n"/>
      <c r="F163" s="30" t="n"/>
      <c r="G163" s="31">
        <f>IF($F163="","",IF($C163="Recette",$F163,-$F163))</f>
        <v/>
      </c>
      <c r="H163" s="25" t="n"/>
      <c r="I163" s="25" t="n"/>
      <c r="J163" s="26" t="n"/>
    </row>
    <row r="164">
      <c r="A164" s="27" t="n"/>
      <c r="B164" s="25" t="n"/>
      <c r="C164" s="25" t="n"/>
      <c r="D164" s="25" t="n"/>
      <c r="E164" s="26" t="n"/>
      <c r="F164" s="30" t="n"/>
      <c r="G164" s="31">
        <f>IF($F164="","",IF($C164="Recette",$F164,-$F164))</f>
        <v/>
      </c>
      <c r="H164" s="25" t="n"/>
      <c r="I164" s="25" t="n"/>
      <c r="J164" s="26" t="n"/>
    </row>
    <row r="165">
      <c r="A165" s="27" t="n"/>
      <c r="B165" s="25" t="n"/>
      <c r="C165" s="25" t="n"/>
      <c r="D165" s="25" t="n"/>
      <c r="E165" s="26" t="n"/>
      <c r="F165" s="30" t="n"/>
      <c r="G165" s="31">
        <f>IF($F165="","",IF($C165="Recette",$F165,-$F165))</f>
        <v/>
      </c>
      <c r="H165" s="25" t="n"/>
      <c r="I165" s="25" t="n"/>
      <c r="J165" s="26" t="n"/>
    </row>
    <row r="166">
      <c r="A166" s="27" t="n"/>
      <c r="B166" s="25" t="n"/>
      <c r="C166" s="25" t="n"/>
      <c r="D166" s="25" t="n"/>
      <c r="E166" s="26" t="n"/>
      <c r="F166" s="30" t="n"/>
      <c r="G166" s="31">
        <f>IF($F166="","",IF($C166="Recette",$F166,-$F166))</f>
        <v/>
      </c>
      <c r="H166" s="25" t="n"/>
      <c r="I166" s="25" t="n"/>
      <c r="J166" s="26" t="n"/>
    </row>
    <row r="167">
      <c r="A167" s="27" t="n"/>
      <c r="B167" s="25" t="n"/>
      <c r="C167" s="25" t="n"/>
      <c r="D167" s="25" t="n"/>
      <c r="E167" s="26" t="n"/>
      <c r="F167" s="30" t="n"/>
      <c r="G167" s="31">
        <f>IF($F167="","",IF($C167="Recette",$F167,-$F167))</f>
        <v/>
      </c>
      <c r="H167" s="25" t="n"/>
      <c r="I167" s="25" t="n"/>
      <c r="J167" s="26" t="n"/>
    </row>
    <row r="168">
      <c r="A168" s="27" t="n"/>
      <c r="B168" s="25" t="n"/>
      <c r="C168" s="25" t="n"/>
      <c r="D168" s="25" t="n"/>
      <c r="E168" s="26" t="n"/>
      <c r="F168" s="30" t="n"/>
      <c r="G168" s="31">
        <f>IF($F168="","",IF($C168="Recette",$F168,-$F168))</f>
        <v/>
      </c>
      <c r="H168" s="25" t="n"/>
      <c r="I168" s="25" t="n"/>
      <c r="J168" s="26" t="n"/>
    </row>
    <row r="169">
      <c r="A169" s="27" t="n"/>
      <c r="B169" s="25" t="n"/>
      <c r="C169" s="25" t="n"/>
      <c r="D169" s="25" t="n"/>
      <c r="E169" s="26" t="n"/>
      <c r="F169" s="30" t="n"/>
      <c r="G169" s="31">
        <f>IF($F169="","",IF($C169="Recette",$F169,-$F169))</f>
        <v/>
      </c>
      <c r="H169" s="25" t="n"/>
      <c r="I169" s="25" t="n"/>
      <c r="J169" s="26" t="n"/>
    </row>
    <row r="170">
      <c r="A170" s="27" t="n"/>
      <c r="B170" s="25" t="n"/>
      <c r="C170" s="25" t="n"/>
      <c r="D170" s="25" t="n"/>
      <c r="E170" s="26" t="n"/>
      <c r="F170" s="30" t="n"/>
      <c r="G170" s="31">
        <f>IF($F170="","",IF($C170="Recette",$F170,-$F170))</f>
        <v/>
      </c>
      <c r="H170" s="25" t="n"/>
      <c r="I170" s="25" t="n"/>
      <c r="J170" s="26" t="n"/>
    </row>
    <row r="171">
      <c r="A171" s="27" t="n"/>
      <c r="B171" s="25" t="n"/>
      <c r="C171" s="25" t="n"/>
      <c r="D171" s="25" t="n"/>
      <c r="E171" s="26" t="n"/>
      <c r="F171" s="30" t="n"/>
      <c r="G171" s="31">
        <f>IF($F171="","",IF($C171="Recette",$F171,-$F171))</f>
        <v/>
      </c>
      <c r="H171" s="25" t="n"/>
      <c r="I171" s="25" t="n"/>
      <c r="J171" s="26" t="n"/>
    </row>
    <row r="172">
      <c r="A172" s="27" t="n"/>
      <c r="B172" s="25" t="n"/>
      <c r="C172" s="25" t="n"/>
      <c r="D172" s="25" t="n"/>
      <c r="E172" s="26" t="n"/>
      <c r="F172" s="30" t="n"/>
      <c r="G172" s="31">
        <f>IF($F172="","",IF($C172="Recette",$F172,-$F172))</f>
        <v/>
      </c>
      <c r="H172" s="25" t="n"/>
      <c r="I172" s="25" t="n"/>
      <c r="J172" s="26" t="n"/>
    </row>
    <row r="173">
      <c r="A173" s="27" t="n"/>
      <c r="B173" s="25" t="n"/>
      <c r="C173" s="25" t="n"/>
      <c r="D173" s="25" t="n"/>
      <c r="E173" s="26" t="n"/>
      <c r="F173" s="30" t="n"/>
      <c r="G173" s="31">
        <f>IF($F173="","",IF($C173="Recette",$F173,-$F173))</f>
        <v/>
      </c>
      <c r="H173" s="25" t="n"/>
      <c r="I173" s="25" t="n"/>
      <c r="J173" s="26" t="n"/>
    </row>
    <row r="174">
      <c r="A174" s="27" t="n"/>
      <c r="B174" s="25" t="n"/>
      <c r="C174" s="25" t="n"/>
      <c r="D174" s="25" t="n"/>
      <c r="E174" s="26" t="n"/>
      <c r="F174" s="30" t="n"/>
      <c r="G174" s="31">
        <f>IF($F174="","",IF($C174="Recette",$F174,-$F174))</f>
        <v/>
      </c>
      <c r="H174" s="25" t="n"/>
      <c r="I174" s="25" t="n"/>
      <c r="J174" s="26" t="n"/>
    </row>
    <row r="175">
      <c r="A175" s="27" t="n"/>
      <c r="B175" s="25" t="n"/>
      <c r="C175" s="25" t="n"/>
      <c r="D175" s="25" t="n"/>
      <c r="E175" s="26" t="n"/>
      <c r="F175" s="30" t="n"/>
      <c r="G175" s="31">
        <f>IF($F175="","",IF($C175="Recette",$F175,-$F175))</f>
        <v/>
      </c>
      <c r="H175" s="25" t="n"/>
      <c r="I175" s="25" t="n"/>
      <c r="J175" s="26" t="n"/>
    </row>
    <row r="176">
      <c r="A176" s="27" t="n"/>
      <c r="B176" s="25" t="n"/>
      <c r="C176" s="25" t="n"/>
      <c r="D176" s="25" t="n"/>
      <c r="E176" s="26" t="n"/>
      <c r="F176" s="30" t="n"/>
      <c r="G176" s="31">
        <f>IF($F176="","",IF($C176="Recette",$F176,-$F176))</f>
        <v/>
      </c>
      <c r="H176" s="25" t="n"/>
      <c r="I176" s="25" t="n"/>
      <c r="J176" s="26" t="n"/>
    </row>
    <row r="177">
      <c r="A177" s="27" t="n"/>
      <c r="B177" s="25" t="n"/>
      <c r="C177" s="25" t="n"/>
      <c r="D177" s="25" t="n"/>
      <c r="E177" s="26" t="n"/>
      <c r="F177" s="30" t="n"/>
      <c r="G177" s="31">
        <f>IF($F177="","",IF($C177="Recette",$F177,-$F177))</f>
        <v/>
      </c>
      <c r="H177" s="25" t="n"/>
      <c r="I177" s="25" t="n"/>
      <c r="J177" s="26" t="n"/>
    </row>
    <row r="178">
      <c r="A178" s="27" t="n"/>
      <c r="B178" s="25" t="n"/>
      <c r="C178" s="25" t="n"/>
      <c r="D178" s="25" t="n"/>
      <c r="E178" s="26" t="n"/>
      <c r="F178" s="30" t="n"/>
      <c r="G178" s="31">
        <f>IF($F178="","",IF($C178="Recette",$F178,-$F178))</f>
        <v/>
      </c>
      <c r="H178" s="25" t="n"/>
      <c r="I178" s="25" t="n"/>
      <c r="J178" s="26" t="n"/>
    </row>
    <row r="179">
      <c r="A179" s="27" t="n"/>
      <c r="B179" s="25" t="n"/>
      <c r="C179" s="25" t="n"/>
      <c r="D179" s="25" t="n"/>
      <c r="E179" s="26" t="n"/>
      <c r="F179" s="30" t="n"/>
      <c r="G179" s="31">
        <f>IF($F179="","",IF($C179="Recette",$F179,-$F179))</f>
        <v/>
      </c>
      <c r="H179" s="25" t="n"/>
      <c r="I179" s="25" t="n"/>
      <c r="J179" s="26" t="n"/>
    </row>
    <row r="180">
      <c r="A180" s="27" t="n"/>
      <c r="B180" s="25" t="n"/>
      <c r="C180" s="25" t="n"/>
      <c r="D180" s="25" t="n"/>
      <c r="E180" s="26" t="n"/>
      <c r="F180" s="30" t="n"/>
      <c r="G180" s="31">
        <f>IF($F180="","",IF($C180="Recette",$F180,-$F180))</f>
        <v/>
      </c>
      <c r="H180" s="25" t="n"/>
      <c r="I180" s="25" t="n"/>
      <c r="J180" s="26" t="n"/>
    </row>
    <row r="181">
      <c r="A181" s="27" t="n"/>
      <c r="B181" s="25" t="n"/>
      <c r="C181" s="25" t="n"/>
      <c r="D181" s="25" t="n"/>
      <c r="E181" s="26" t="n"/>
      <c r="F181" s="30" t="n"/>
      <c r="G181" s="31">
        <f>IF($F181="","",IF($C181="Recette",$F181,-$F181))</f>
        <v/>
      </c>
      <c r="H181" s="25" t="n"/>
      <c r="I181" s="25" t="n"/>
      <c r="J181" s="26" t="n"/>
    </row>
    <row r="182">
      <c r="A182" s="27" t="n"/>
      <c r="B182" s="25" t="n"/>
      <c r="C182" s="25" t="n"/>
      <c r="D182" s="25" t="n"/>
      <c r="E182" s="26" t="n"/>
      <c r="F182" s="30" t="n"/>
      <c r="G182" s="31">
        <f>IF($F182="","",IF($C182="Recette",$F182,-$F182))</f>
        <v/>
      </c>
      <c r="H182" s="25" t="n"/>
      <c r="I182" s="25" t="n"/>
      <c r="J182" s="26" t="n"/>
    </row>
    <row r="183">
      <c r="A183" s="27" t="n"/>
      <c r="B183" s="25" t="n"/>
      <c r="C183" s="25" t="n"/>
      <c r="D183" s="25" t="n"/>
      <c r="E183" s="26" t="n"/>
      <c r="F183" s="30" t="n"/>
      <c r="G183" s="31">
        <f>IF($F183="","",IF($C183="Recette",$F183,-$F183))</f>
        <v/>
      </c>
      <c r="H183" s="25" t="n"/>
      <c r="I183" s="25" t="n"/>
      <c r="J183" s="26" t="n"/>
    </row>
    <row r="184">
      <c r="A184" s="27" t="n"/>
      <c r="B184" s="25" t="n"/>
      <c r="C184" s="25" t="n"/>
      <c r="D184" s="25" t="n"/>
      <c r="E184" s="26" t="n"/>
      <c r="F184" s="30" t="n"/>
      <c r="G184" s="31">
        <f>IF($F184="","",IF($C184="Recette",$F184,-$F184))</f>
        <v/>
      </c>
      <c r="H184" s="25" t="n"/>
      <c r="I184" s="25" t="n"/>
      <c r="J184" s="26" t="n"/>
    </row>
    <row r="185">
      <c r="A185" s="27" t="n"/>
      <c r="B185" s="25" t="n"/>
      <c r="C185" s="25" t="n"/>
      <c r="D185" s="25" t="n"/>
      <c r="E185" s="26" t="n"/>
      <c r="F185" s="30" t="n"/>
      <c r="G185" s="31">
        <f>IF($F185="","",IF($C185="Recette",$F185,-$F185))</f>
        <v/>
      </c>
      <c r="H185" s="25" t="n"/>
      <c r="I185" s="25" t="n"/>
      <c r="J185" s="26" t="n"/>
    </row>
    <row r="186">
      <c r="A186" s="27" t="n"/>
      <c r="B186" s="25" t="n"/>
      <c r="C186" s="25" t="n"/>
      <c r="D186" s="25" t="n"/>
      <c r="E186" s="26" t="n"/>
      <c r="F186" s="30" t="n"/>
      <c r="G186" s="31">
        <f>IF($F186="","",IF($C186="Recette",$F186,-$F186))</f>
        <v/>
      </c>
      <c r="H186" s="25" t="n"/>
      <c r="I186" s="25" t="n"/>
      <c r="J186" s="26" t="n"/>
    </row>
    <row r="187">
      <c r="A187" s="27" t="n"/>
      <c r="B187" s="25" t="n"/>
      <c r="C187" s="25" t="n"/>
      <c r="D187" s="25" t="n"/>
      <c r="E187" s="26" t="n"/>
      <c r="F187" s="30" t="n"/>
      <c r="G187" s="31">
        <f>IF($F187="","",IF($C187="Recette",$F187,-$F187))</f>
        <v/>
      </c>
      <c r="H187" s="25" t="n"/>
      <c r="I187" s="25" t="n"/>
      <c r="J187" s="26" t="n"/>
    </row>
    <row r="188">
      <c r="A188" s="27" t="n"/>
      <c r="B188" s="25" t="n"/>
      <c r="C188" s="25" t="n"/>
      <c r="D188" s="25" t="n"/>
      <c r="E188" s="26" t="n"/>
      <c r="F188" s="30" t="n"/>
      <c r="G188" s="31">
        <f>IF($F188="","",IF($C188="Recette",$F188,-$F188))</f>
        <v/>
      </c>
      <c r="H188" s="25" t="n"/>
      <c r="I188" s="25" t="n"/>
      <c r="J188" s="26" t="n"/>
    </row>
    <row r="189">
      <c r="A189" s="27" t="n"/>
      <c r="B189" s="25" t="n"/>
      <c r="C189" s="25" t="n"/>
      <c r="D189" s="25" t="n"/>
      <c r="E189" s="26" t="n"/>
      <c r="F189" s="30" t="n"/>
      <c r="G189" s="31">
        <f>IF($F189="","",IF($C189="Recette",$F189,-$F189))</f>
        <v/>
      </c>
      <c r="H189" s="25" t="n"/>
      <c r="I189" s="25" t="n"/>
      <c r="J189" s="26" t="n"/>
    </row>
    <row r="190">
      <c r="A190" s="27" t="n"/>
      <c r="B190" s="25" t="n"/>
      <c r="C190" s="25" t="n"/>
      <c r="D190" s="25" t="n"/>
      <c r="E190" s="26" t="n"/>
      <c r="F190" s="30" t="n"/>
      <c r="G190" s="31">
        <f>IF($F190="","",IF($C190="Recette",$F190,-$F190))</f>
        <v/>
      </c>
      <c r="H190" s="25" t="n"/>
      <c r="I190" s="25" t="n"/>
      <c r="J190" s="26" t="n"/>
    </row>
    <row r="191">
      <c r="A191" s="27" t="n"/>
      <c r="B191" s="25" t="n"/>
      <c r="C191" s="25" t="n"/>
      <c r="D191" s="25" t="n"/>
      <c r="E191" s="26" t="n"/>
      <c r="F191" s="30" t="n"/>
      <c r="G191" s="31">
        <f>IF($F191="","",IF($C191="Recette",$F191,-$F191))</f>
        <v/>
      </c>
      <c r="H191" s="25" t="n"/>
      <c r="I191" s="25" t="n"/>
      <c r="J191" s="26" t="n"/>
    </row>
    <row r="192">
      <c r="A192" s="27" t="n"/>
      <c r="B192" s="25" t="n"/>
      <c r="C192" s="25" t="n"/>
      <c r="D192" s="25" t="n"/>
      <c r="E192" s="26" t="n"/>
      <c r="F192" s="30" t="n"/>
      <c r="G192" s="31">
        <f>IF($F192="","",IF($C192="Recette",$F192,-$F192))</f>
        <v/>
      </c>
      <c r="H192" s="25" t="n"/>
      <c r="I192" s="25" t="n"/>
      <c r="J192" s="26" t="n"/>
    </row>
    <row r="193">
      <c r="A193" s="27" t="n"/>
      <c r="B193" s="25" t="n"/>
      <c r="C193" s="25" t="n"/>
      <c r="D193" s="25" t="n"/>
      <c r="E193" s="26" t="n"/>
      <c r="F193" s="30" t="n"/>
      <c r="G193" s="31">
        <f>IF($F193="","",IF($C193="Recette",$F193,-$F193))</f>
        <v/>
      </c>
      <c r="H193" s="25" t="n"/>
      <c r="I193" s="25" t="n"/>
      <c r="J193" s="26" t="n"/>
    </row>
    <row r="194">
      <c r="A194" s="27" t="n"/>
      <c r="B194" s="25" t="n"/>
      <c r="C194" s="25" t="n"/>
      <c r="D194" s="25" t="n"/>
      <c r="E194" s="26" t="n"/>
      <c r="F194" s="30" t="n"/>
      <c r="G194" s="31">
        <f>IF($F194="","",IF($C194="Recette",$F194,-$F194))</f>
        <v/>
      </c>
      <c r="H194" s="25" t="n"/>
      <c r="I194" s="25" t="n"/>
      <c r="J194" s="26" t="n"/>
    </row>
    <row r="195">
      <c r="A195" s="27" t="n"/>
      <c r="B195" s="25" t="n"/>
      <c r="C195" s="25" t="n"/>
      <c r="D195" s="25" t="n"/>
      <c r="E195" s="26" t="n"/>
      <c r="F195" s="30" t="n"/>
      <c r="G195" s="31">
        <f>IF($F195="","",IF($C195="Recette",$F195,-$F195))</f>
        <v/>
      </c>
      <c r="H195" s="25" t="n"/>
      <c r="I195" s="25" t="n"/>
      <c r="J195" s="26" t="n"/>
    </row>
    <row r="196">
      <c r="A196" s="27" t="n"/>
      <c r="B196" s="25" t="n"/>
      <c r="C196" s="25" t="n"/>
      <c r="D196" s="25" t="n"/>
      <c r="E196" s="26" t="n"/>
      <c r="F196" s="30" t="n"/>
      <c r="G196" s="31">
        <f>IF($F196="","",IF($C196="Recette",$F196,-$F196))</f>
        <v/>
      </c>
      <c r="H196" s="25" t="n"/>
      <c r="I196" s="25" t="n"/>
      <c r="J196" s="26" t="n"/>
    </row>
    <row r="197">
      <c r="A197" s="27" t="n"/>
      <c r="B197" s="25" t="n"/>
      <c r="C197" s="25" t="n"/>
      <c r="D197" s="25" t="n"/>
      <c r="E197" s="26" t="n"/>
      <c r="F197" s="30" t="n"/>
      <c r="G197" s="31">
        <f>IF($F197="","",IF($C197="Recette",$F197,-$F197))</f>
        <v/>
      </c>
      <c r="H197" s="25" t="n"/>
      <c r="I197" s="25" t="n"/>
      <c r="J197" s="26" t="n"/>
    </row>
    <row r="198">
      <c r="A198" s="27" t="n"/>
      <c r="B198" s="25" t="n"/>
      <c r="C198" s="25" t="n"/>
      <c r="D198" s="25" t="n"/>
      <c r="E198" s="26" t="n"/>
      <c r="F198" s="30" t="n"/>
      <c r="G198" s="31">
        <f>IF($F198="","",IF($C198="Recette",$F198,-$F198))</f>
        <v/>
      </c>
      <c r="H198" s="25" t="n"/>
      <c r="I198" s="25" t="n"/>
      <c r="J198" s="26" t="n"/>
    </row>
    <row r="199">
      <c r="A199" s="27" t="n"/>
      <c r="B199" s="25" t="n"/>
      <c r="C199" s="25" t="n"/>
      <c r="D199" s="25" t="n"/>
      <c r="E199" s="26" t="n"/>
      <c r="F199" s="30" t="n"/>
      <c r="G199" s="31">
        <f>IF($F199="","",IF($C199="Recette",$F199,-$F199))</f>
        <v/>
      </c>
      <c r="H199" s="25" t="n"/>
      <c r="I199" s="25" t="n"/>
      <c r="J199" s="26" t="n"/>
    </row>
    <row r="200">
      <c r="A200" s="27" t="n"/>
      <c r="B200" s="25" t="n"/>
      <c r="C200" s="25" t="n"/>
      <c r="D200" s="25" t="n"/>
      <c r="E200" s="26" t="n"/>
      <c r="F200" s="30" t="n"/>
      <c r="G200" s="31">
        <f>IF($F200="","",IF($C200="Recette",$F200,-$F200))</f>
        <v/>
      </c>
      <c r="H200" s="25" t="n"/>
      <c r="I200" s="25" t="n"/>
      <c r="J200" s="26" t="n"/>
    </row>
    <row r="201">
      <c r="A201" s="27" t="n"/>
      <c r="B201" s="25" t="n"/>
      <c r="C201" s="25" t="n"/>
      <c r="D201" s="25" t="n"/>
      <c r="E201" s="26" t="n"/>
      <c r="F201" s="30" t="n"/>
      <c r="G201" s="31">
        <f>IF($F201="","",IF($C201="Recette",$F201,-$F201))</f>
        <v/>
      </c>
      <c r="H201" s="25" t="n"/>
      <c r="I201" s="25" t="n"/>
      <c r="J201" s="26" t="n"/>
    </row>
    <row r="202">
      <c r="A202" s="27" t="n"/>
      <c r="B202" s="25" t="n"/>
      <c r="C202" s="25" t="n"/>
      <c r="D202" s="25" t="n"/>
      <c r="E202" s="26" t="n"/>
      <c r="F202" s="30" t="n"/>
      <c r="G202" s="31">
        <f>IF($F202="","",IF($C202="Recette",$F202,-$F202))</f>
        <v/>
      </c>
      <c r="H202" s="25" t="n"/>
      <c r="I202" s="25" t="n"/>
      <c r="J202" s="26" t="n"/>
    </row>
    <row r="203">
      <c r="A203" s="27" t="n"/>
      <c r="B203" s="25" t="n"/>
      <c r="C203" s="25" t="n"/>
      <c r="D203" s="25" t="n"/>
      <c r="E203" s="26" t="n"/>
      <c r="F203" s="30" t="n"/>
      <c r="G203" s="31">
        <f>IF($F203="","",IF($C203="Recette",$F203,-$F203))</f>
        <v/>
      </c>
      <c r="H203" s="25" t="n"/>
      <c r="I203" s="25" t="n"/>
      <c r="J203" s="26" t="n"/>
    </row>
    <row r="204">
      <c r="A204" s="27" t="n"/>
      <c r="B204" s="25" t="n"/>
      <c r="C204" s="25" t="n"/>
      <c r="D204" s="25" t="n"/>
      <c r="E204" s="26" t="n"/>
      <c r="F204" s="30" t="n"/>
      <c r="G204" s="31">
        <f>IF($F204="","",IF($C204="Recette",$F204,-$F204))</f>
        <v/>
      </c>
      <c r="H204" s="25" t="n"/>
      <c r="I204" s="25" t="n"/>
      <c r="J204" s="26" t="n"/>
    </row>
    <row r="205">
      <c r="A205" s="27" t="n"/>
      <c r="B205" s="25" t="n"/>
      <c r="C205" s="25" t="n"/>
      <c r="D205" s="25" t="n"/>
      <c r="E205" s="26" t="n"/>
      <c r="F205" s="30" t="n"/>
      <c r="G205" s="31">
        <f>IF($F205="","",IF($C205="Recette",$F205,-$F205))</f>
        <v/>
      </c>
      <c r="H205" s="25" t="n"/>
      <c r="I205" s="25" t="n"/>
      <c r="J205" s="26" t="n"/>
    </row>
    <row r="206">
      <c r="A206" s="27" t="n"/>
      <c r="B206" s="25" t="n"/>
      <c r="C206" s="25" t="n"/>
      <c r="D206" s="25" t="n"/>
      <c r="E206" s="26" t="n"/>
      <c r="F206" s="30" t="n"/>
      <c r="G206" s="31">
        <f>IF($F206="","",IF($C206="Recette",$F206,-$F206))</f>
        <v/>
      </c>
      <c r="H206" s="25" t="n"/>
      <c r="I206" s="25" t="n"/>
      <c r="J206" s="26" t="n"/>
    </row>
    <row r="207">
      <c r="A207" s="27" t="n"/>
      <c r="B207" s="25" t="n"/>
      <c r="C207" s="25" t="n"/>
      <c r="D207" s="25" t="n"/>
      <c r="E207" s="26" t="n"/>
      <c r="F207" s="30" t="n"/>
      <c r="G207" s="31">
        <f>IF($F207="","",IF($C207="Recette",$F207,-$F207))</f>
        <v/>
      </c>
      <c r="H207" s="25" t="n"/>
      <c r="I207" s="25" t="n"/>
      <c r="J207" s="26" t="n"/>
    </row>
    <row r="208">
      <c r="A208" s="27" t="n"/>
      <c r="B208" s="25" t="n"/>
      <c r="C208" s="25" t="n"/>
      <c r="D208" s="25" t="n"/>
      <c r="E208" s="26" t="n"/>
      <c r="F208" s="30" t="n"/>
      <c r="G208" s="31">
        <f>IF($F208="","",IF($C208="Recette",$F208,-$F208))</f>
        <v/>
      </c>
      <c r="H208" s="25" t="n"/>
      <c r="I208" s="25" t="n"/>
      <c r="J208" s="26" t="n"/>
    </row>
    <row r="209">
      <c r="A209" s="27" t="n"/>
      <c r="B209" s="25" t="n"/>
      <c r="C209" s="25" t="n"/>
      <c r="D209" s="25" t="n"/>
      <c r="E209" s="26" t="n"/>
      <c r="F209" s="30" t="n"/>
      <c r="G209" s="31">
        <f>IF($F209="","",IF($C209="Recette",$F209,-$F209))</f>
        <v/>
      </c>
      <c r="H209" s="25" t="n"/>
      <c r="I209" s="25" t="n"/>
      <c r="J209" s="26" t="n"/>
    </row>
    <row r="210">
      <c r="A210" s="27" t="n"/>
      <c r="B210" s="25" t="n"/>
      <c r="C210" s="25" t="n"/>
      <c r="D210" s="25" t="n"/>
      <c r="E210" s="26" t="n"/>
      <c r="F210" s="30" t="n"/>
      <c r="G210" s="31">
        <f>IF($F210="","",IF($C210="Recette",$F210,-$F210))</f>
        <v/>
      </c>
      <c r="H210" s="25" t="n"/>
      <c r="I210" s="25" t="n"/>
      <c r="J210" s="26" t="n"/>
    </row>
    <row r="211">
      <c r="A211" s="27" t="n"/>
      <c r="B211" s="25" t="n"/>
      <c r="C211" s="25" t="n"/>
      <c r="D211" s="25" t="n"/>
      <c r="E211" s="26" t="n"/>
      <c r="F211" s="30" t="n"/>
      <c r="G211" s="31">
        <f>IF($F211="","",IF($C211="Recette",$F211,-$F211))</f>
        <v/>
      </c>
      <c r="H211" s="25" t="n"/>
      <c r="I211" s="25" t="n"/>
      <c r="J211" s="26" t="n"/>
    </row>
    <row r="212">
      <c r="A212" s="27" t="n"/>
      <c r="B212" s="25" t="n"/>
      <c r="C212" s="25" t="n"/>
      <c r="D212" s="25" t="n"/>
      <c r="E212" s="26" t="n"/>
      <c r="F212" s="30" t="n"/>
      <c r="G212" s="31">
        <f>IF($F212="","",IF($C212="Recette",$F212,-$F212))</f>
        <v/>
      </c>
      <c r="H212" s="25" t="n"/>
      <c r="I212" s="25" t="n"/>
      <c r="J212" s="26" t="n"/>
    </row>
    <row r="213">
      <c r="A213" s="27" t="n"/>
      <c r="B213" s="25" t="n"/>
      <c r="C213" s="25" t="n"/>
      <c r="D213" s="25" t="n"/>
      <c r="E213" s="26" t="n"/>
      <c r="F213" s="30" t="n"/>
      <c r="G213" s="31">
        <f>IF($F213="","",IF($C213="Recette",$F213,-$F213))</f>
        <v/>
      </c>
      <c r="H213" s="25" t="n"/>
      <c r="I213" s="25" t="n"/>
      <c r="J213" s="26" t="n"/>
    </row>
    <row r="214">
      <c r="A214" s="27" t="n"/>
      <c r="B214" s="25" t="n"/>
      <c r="C214" s="25" t="n"/>
      <c r="D214" s="25" t="n"/>
      <c r="E214" s="26" t="n"/>
      <c r="F214" s="30" t="n"/>
      <c r="G214" s="31">
        <f>IF($F214="","",IF($C214="Recette",$F214,-$F214))</f>
        <v/>
      </c>
      <c r="H214" s="25" t="n"/>
      <c r="I214" s="25" t="n"/>
      <c r="J214" s="26" t="n"/>
    </row>
    <row r="215">
      <c r="A215" s="27" t="n"/>
      <c r="B215" s="25" t="n"/>
      <c r="C215" s="25" t="n"/>
      <c r="D215" s="25" t="n"/>
      <c r="E215" s="26" t="n"/>
      <c r="F215" s="30" t="n"/>
      <c r="G215" s="31">
        <f>IF($F215="","",IF($C215="Recette",$F215,-$F215))</f>
        <v/>
      </c>
      <c r="H215" s="25" t="n"/>
      <c r="I215" s="25" t="n"/>
      <c r="J215" s="26" t="n"/>
    </row>
    <row r="216">
      <c r="A216" s="27" t="n"/>
      <c r="B216" s="25" t="n"/>
      <c r="C216" s="25" t="n"/>
      <c r="D216" s="25" t="n"/>
      <c r="E216" s="26" t="n"/>
      <c r="F216" s="30" t="n"/>
      <c r="G216" s="31">
        <f>IF($F216="","",IF($C216="Recette",$F216,-$F216))</f>
        <v/>
      </c>
      <c r="H216" s="25" t="n"/>
      <c r="I216" s="25" t="n"/>
      <c r="J216" s="26" t="n"/>
    </row>
    <row r="217">
      <c r="A217" s="27" t="n"/>
      <c r="B217" s="25" t="n"/>
      <c r="C217" s="25" t="n"/>
      <c r="D217" s="25" t="n"/>
      <c r="E217" s="26" t="n"/>
      <c r="F217" s="30" t="n"/>
      <c r="G217" s="31">
        <f>IF($F217="","",IF($C217="Recette",$F217,-$F217))</f>
        <v/>
      </c>
      <c r="H217" s="25" t="n"/>
      <c r="I217" s="25" t="n"/>
      <c r="J217" s="26" t="n"/>
    </row>
    <row r="218">
      <c r="A218" s="27" t="n"/>
      <c r="B218" s="25" t="n"/>
      <c r="C218" s="25" t="n"/>
      <c r="D218" s="25" t="n"/>
      <c r="E218" s="26" t="n"/>
      <c r="F218" s="30" t="n"/>
      <c r="G218" s="31">
        <f>IF($F218="","",IF($C218="Recette",$F218,-$F218))</f>
        <v/>
      </c>
      <c r="H218" s="25" t="n"/>
      <c r="I218" s="25" t="n"/>
      <c r="J218" s="26" t="n"/>
    </row>
    <row r="219">
      <c r="A219" s="27" t="n"/>
      <c r="B219" s="25" t="n"/>
      <c r="C219" s="25" t="n"/>
      <c r="D219" s="25" t="n"/>
      <c r="E219" s="26" t="n"/>
      <c r="F219" s="30" t="n"/>
      <c r="G219" s="31">
        <f>IF($F219="","",IF($C219="Recette",$F219,-$F219))</f>
        <v/>
      </c>
      <c r="H219" s="25" t="n"/>
      <c r="I219" s="25" t="n"/>
      <c r="J219" s="26" t="n"/>
    </row>
    <row r="220">
      <c r="A220" s="27" t="n"/>
      <c r="B220" s="25" t="n"/>
      <c r="C220" s="25" t="n"/>
      <c r="D220" s="25" t="n"/>
      <c r="E220" s="26" t="n"/>
      <c r="F220" s="30" t="n"/>
      <c r="G220" s="31">
        <f>IF($F220="","",IF($C220="Recette",$F220,-$F220))</f>
        <v/>
      </c>
      <c r="H220" s="25" t="n"/>
      <c r="I220" s="25" t="n"/>
      <c r="J220" s="26" t="n"/>
    </row>
    <row r="221">
      <c r="A221" s="27" t="n"/>
      <c r="B221" s="25" t="n"/>
      <c r="C221" s="25" t="n"/>
      <c r="D221" s="25" t="n"/>
      <c r="E221" s="26" t="n"/>
      <c r="F221" s="30" t="n"/>
      <c r="G221" s="31">
        <f>IF($F221="","",IF($C221="Recette",$F221,-$F221))</f>
        <v/>
      </c>
      <c r="H221" s="25" t="n"/>
      <c r="I221" s="25" t="n"/>
      <c r="J221" s="26" t="n"/>
    </row>
    <row r="222">
      <c r="A222" s="27" t="n"/>
      <c r="B222" s="25" t="n"/>
      <c r="C222" s="25" t="n"/>
      <c r="D222" s="25" t="n"/>
      <c r="E222" s="26" t="n"/>
      <c r="F222" s="30" t="n"/>
      <c r="G222" s="31">
        <f>IF($F222="","",IF($C222="Recette",$F222,-$F222))</f>
        <v/>
      </c>
      <c r="H222" s="25" t="n"/>
      <c r="I222" s="25" t="n"/>
      <c r="J222" s="26" t="n"/>
    </row>
    <row r="223">
      <c r="A223" s="27" t="n"/>
      <c r="B223" s="25" t="n"/>
      <c r="C223" s="25" t="n"/>
      <c r="D223" s="25" t="n"/>
      <c r="E223" s="26" t="n"/>
      <c r="F223" s="30" t="n"/>
      <c r="G223" s="31">
        <f>IF($F223="","",IF($C223="Recette",$F223,-$F223))</f>
        <v/>
      </c>
      <c r="H223" s="25" t="n"/>
      <c r="I223" s="25" t="n"/>
      <c r="J223" s="26" t="n"/>
    </row>
    <row r="224">
      <c r="A224" s="27" t="n"/>
      <c r="B224" s="25" t="n"/>
      <c r="C224" s="25" t="n"/>
      <c r="D224" s="25" t="n"/>
      <c r="E224" s="26" t="n"/>
      <c r="F224" s="30" t="n"/>
      <c r="G224" s="31">
        <f>IF($F224="","",IF($C224="Recette",$F224,-$F224))</f>
        <v/>
      </c>
      <c r="H224" s="25" t="n"/>
      <c r="I224" s="25" t="n"/>
      <c r="J224" s="26" t="n"/>
    </row>
    <row r="225">
      <c r="A225" s="27" t="n"/>
      <c r="B225" s="25" t="n"/>
      <c r="C225" s="25" t="n"/>
      <c r="D225" s="25" t="n"/>
      <c r="E225" s="26" t="n"/>
      <c r="F225" s="30" t="n"/>
      <c r="G225" s="31">
        <f>IF($F225="","",IF($C225="Recette",$F225,-$F225))</f>
        <v/>
      </c>
      <c r="H225" s="25" t="n"/>
      <c r="I225" s="25" t="n"/>
      <c r="J225" s="26" t="n"/>
    </row>
    <row r="226">
      <c r="A226" s="27" t="n"/>
      <c r="B226" s="25" t="n"/>
      <c r="C226" s="25" t="n"/>
      <c r="D226" s="25" t="n"/>
      <c r="E226" s="26" t="n"/>
      <c r="F226" s="30" t="n"/>
      <c r="G226" s="31">
        <f>IF($F226="","",IF($C226="Recette",$F226,-$F226))</f>
        <v/>
      </c>
      <c r="H226" s="25" t="n"/>
      <c r="I226" s="25" t="n"/>
      <c r="J226" s="26" t="n"/>
    </row>
    <row r="227">
      <c r="A227" s="27" t="n"/>
      <c r="B227" s="25" t="n"/>
      <c r="C227" s="25" t="n"/>
      <c r="D227" s="25" t="n"/>
      <c r="E227" s="26" t="n"/>
      <c r="F227" s="30" t="n"/>
      <c r="G227" s="31">
        <f>IF($F227="","",IF($C227="Recette",$F227,-$F227))</f>
        <v/>
      </c>
      <c r="H227" s="25" t="n"/>
      <c r="I227" s="25" t="n"/>
      <c r="J227" s="26" t="n"/>
    </row>
    <row r="228">
      <c r="A228" s="27" t="n"/>
      <c r="B228" s="25" t="n"/>
      <c r="C228" s="25" t="n"/>
      <c r="D228" s="25" t="n"/>
      <c r="E228" s="26" t="n"/>
      <c r="F228" s="30" t="n"/>
      <c r="G228" s="31">
        <f>IF($F228="","",IF($C228="Recette",$F228,-$F228))</f>
        <v/>
      </c>
      <c r="H228" s="25" t="n"/>
      <c r="I228" s="25" t="n"/>
      <c r="J228" s="26" t="n"/>
    </row>
    <row r="229">
      <c r="A229" s="27" t="n"/>
      <c r="B229" s="25" t="n"/>
      <c r="C229" s="25" t="n"/>
      <c r="D229" s="25" t="n"/>
      <c r="E229" s="26" t="n"/>
      <c r="F229" s="30" t="n"/>
      <c r="G229" s="31">
        <f>IF($F229="","",IF($C229="Recette",$F229,-$F229))</f>
        <v/>
      </c>
      <c r="H229" s="25" t="n"/>
      <c r="I229" s="25" t="n"/>
      <c r="J229" s="26" t="n"/>
    </row>
    <row r="230">
      <c r="A230" s="27" t="n"/>
      <c r="B230" s="25" t="n"/>
      <c r="C230" s="25" t="n"/>
      <c r="D230" s="25" t="n"/>
      <c r="E230" s="26" t="n"/>
      <c r="F230" s="30" t="n"/>
      <c r="G230" s="31">
        <f>IF($F230="","",IF($C230="Recette",$F230,-$F230))</f>
        <v/>
      </c>
      <c r="H230" s="25" t="n"/>
      <c r="I230" s="25" t="n"/>
      <c r="J230" s="26" t="n"/>
    </row>
    <row r="231">
      <c r="A231" s="27" t="n"/>
      <c r="B231" s="25" t="n"/>
      <c r="C231" s="25" t="n"/>
      <c r="D231" s="25" t="n"/>
      <c r="E231" s="26" t="n"/>
      <c r="F231" s="30" t="n"/>
      <c r="G231" s="31">
        <f>IF($F231="","",IF($C231="Recette",$F231,-$F231))</f>
        <v/>
      </c>
      <c r="H231" s="25" t="n"/>
      <c r="I231" s="25" t="n"/>
      <c r="J231" s="26" t="n"/>
    </row>
    <row r="232">
      <c r="A232" s="27" t="n"/>
      <c r="B232" s="25" t="n"/>
      <c r="C232" s="25" t="n"/>
      <c r="D232" s="25" t="n"/>
      <c r="E232" s="26" t="n"/>
      <c r="F232" s="30" t="n"/>
      <c r="G232" s="31">
        <f>IF($F232="","",IF($C232="Recette",$F232,-$F232))</f>
        <v/>
      </c>
      <c r="H232" s="25" t="n"/>
      <c r="I232" s="25" t="n"/>
      <c r="J232" s="26" t="n"/>
    </row>
    <row r="233">
      <c r="A233" s="27" t="n"/>
      <c r="B233" s="25" t="n"/>
      <c r="C233" s="25" t="n"/>
      <c r="D233" s="25" t="n"/>
      <c r="E233" s="26" t="n"/>
      <c r="F233" s="30" t="n"/>
      <c r="G233" s="31">
        <f>IF($F233="","",IF($C233="Recette",$F233,-$F233))</f>
        <v/>
      </c>
      <c r="H233" s="25" t="n"/>
      <c r="I233" s="25" t="n"/>
      <c r="J233" s="26" t="n"/>
    </row>
    <row r="234">
      <c r="A234" s="27" t="n"/>
      <c r="B234" s="25" t="n"/>
      <c r="C234" s="25" t="n"/>
      <c r="D234" s="25" t="n"/>
      <c r="E234" s="26" t="n"/>
      <c r="F234" s="30" t="n"/>
      <c r="G234" s="31">
        <f>IF($F234="","",IF($C234="Recette",$F234,-$F234))</f>
        <v/>
      </c>
      <c r="H234" s="25" t="n"/>
      <c r="I234" s="25" t="n"/>
      <c r="J234" s="26" t="n"/>
    </row>
    <row r="235">
      <c r="A235" s="27" t="n"/>
      <c r="B235" s="25" t="n"/>
      <c r="C235" s="25" t="n"/>
      <c r="D235" s="25" t="n"/>
      <c r="E235" s="26" t="n"/>
      <c r="F235" s="30" t="n"/>
      <c r="G235" s="31">
        <f>IF($F235="","",IF($C235="Recette",$F235,-$F235))</f>
        <v/>
      </c>
      <c r="H235" s="25" t="n"/>
      <c r="I235" s="25" t="n"/>
      <c r="J235" s="26" t="n"/>
    </row>
    <row r="236">
      <c r="A236" s="27" t="n"/>
      <c r="B236" s="25" t="n"/>
      <c r="C236" s="25" t="n"/>
      <c r="D236" s="25" t="n"/>
      <c r="E236" s="26" t="n"/>
      <c r="F236" s="30" t="n"/>
      <c r="G236" s="31">
        <f>IF($F236="","",IF($C236="Recette",$F236,-$F236))</f>
        <v/>
      </c>
      <c r="H236" s="25" t="n"/>
      <c r="I236" s="25" t="n"/>
      <c r="J236" s="26" t="n"/>
    </row>
    <row r="237">
      <c r="A237" s="27" t="n"/>
      <c r="B237" s="25" t="n"/>
      <c r="C237" s="25" t="n"/>
      <c r="D237" s="25" t="n"/>
      <c r="E237" s="26" t="n"/>
      <c r="F237" s="30" t="n"/>
      <c r="G237" s="31">
        <f>IF($F237="","",IF($C237="Recette",$F237,-$F237))</f>
        <v/>
      </c>
      <c r="H237" s="25" t="n"/>
      <c r="I237" s="25" t="n"/>
      <c r="J237" s="26" t="n"/>
    </row>
    <row r="238">
      <c r="A238" s="27" t="n"/>
      <c r="B238" s="25" t="n"/>
      <c r="C238" s="25" t="n"/>
      <c r="D238" s="25" t="n"/>
      <c r="E238" s="26" t="n"/>
      <c r="F238" s="30" t="n"/>
      <c r="G238" s="31">
        <f>IF($F238="","",IF($C238="Recette",$F238,-$F238))</f>
        <v/>
      </c>
      <c r="H238" s="25" t="n"/>
      <c r="I238" s="25" t="n"/>
      <c r="J238" s="26" t="n"/>
    </row>
    <row r="239">
      <c r="A239" s="27" t="n"/>
      <c r="B239" s="25" t="n"/>
      <c r="C239" s="25" t="n"/>
      <c r="D239" s="25" t="n"/>
      <c r="E239" s="26" t="n"/>
      <c r="F239" s="30" t="n"/>
      <c r="G239" s="31">
        <f>IF($F239="","",IF($C239="Recette",$F239,-$F239))</f>
        <v/>
      </c>
      <c r="H239" s="25" t="n"/>
      <c r="I239" s="25" t="n"/>
      <c r="J239" s="26" t="n"/>
    </row>
    <row r="240">
      <c r="A240" s="27" t="n"/>
      <c r="B240" s="25" t="n"/>
      <c r="C240" s="25" t="n"/>
      <c r="D240" s="25" t="n"/>
      <c r="E240" s="26" t="n"/>
      <c r="F240" s="30" t="n"/>
      <c r="G240" s="31">
        <f>IF($F240="","",IF($C240="Recette",$F240,-$F240))</f>
        <v/>
      </c>
      <c r="H240" s="25" t="n"/>
      <c r="I240" s="25" t="n"/>
      <c r="J240" s="26" t="n"/>
    </row>
    <row r="241">
      <c r="A241" s="27" t="n"/>
      <c r="B241" s="25" t="n"/>
      <c r="C241" s="25" t="n"/>
      <c r="D241" s="25" t="n"/>
      <c r="E241" s="26" t="n"/>
      <c r="F241" s="30" t="n"/>
      <c r="G241" s="31">
        <f>IF($F241="","",IF($C241="Recette",$F241,-$F241))</f>
        <v/>
      </c>
      <c r="H241" s="25" t="n"/>
      <c r="I241" s="25" t="n"/>
      <c r="J241" s="26" t="n"/>
    </row>
    <row r="242">
      <c r="A242" s="27" t="n"/>
      <c r="B242" s="25" t="n"/>
      <c r="C242" s="25" t="n"/>
      <c r="D242" s="25" t="n"/>
      <c r="E242" s="26" t="n"/>
      <c r="F242" s="30" t="n"/>
      <c r="G242" s="31">
        <f>IF($F242="","",IF($C242="Recette",$F242,-$F242))</f>
        <v/>
      </c>
      <c r="H242" s="25" t="n"/>
      <c r="I242" s="25" t="n"/>
      <c r="J242" s="26" t="n"/>
    </row>
    <row r="243">
      <c r="A243" s="27" t="n"/>
      <c r="B243" s="25" t="n"/>
      <c r="C243" s="25" t="n"/>
      <c r="D243" s="25" t="n"/>
      <c r="E243" s="26" t="n"/>
      <c r="F243" s="30" t="n"/>
      <c r="G243" s="31">
        <f>IF($F243="","",IF($C243="Recette",$F243,-$F243))</f>
        <v/>
      </c>
      <c r="H243" s="25" t="n"/>
      <c r="I243" s="25" t="n"/>
      <c r="J243" s="26" t="n"/>
    </row>
    <row r="244">
      <c r="A244" s="27" t="n"/>
      <c r="B244" s="25" t="n"/>
      <c r="C244" s="25" t="n"/>
      <c r="D244" s="25" t="n"/>
      <c r="E244" s="26" t="n"/>
      <c r="F244" s="30" t="n"/>
      <c r="G244" s="31">
        <f>IF($F244="","",IF($C244="Recette",$F244,-$F244))</f>
        <v/>
      </c>
      <c r="H244" s="25" t="n"/>
      <c r="I244" s="25" t="n"/>
      <c r="J244" s="26" t="n"/>
    </row>
    <row r="245">
      <c r="A245" s="27" t="n"/>
      <c r="B245" s="25" t="n"/>
      <c r="C245" s="25" t="n"/>
      <c r="D245" s="25" t="n"/>
      <c r="E245" s="26" t="n"/>
      <c r="F245" s="30" t="n"/>
      <c r="G245" s="31">
        <f>IF($F245="","",IF($C245="Recette",$F245,-$F245))</f>
        <v/>
      </c>
      <c r="H245" s="25" t="n"/>
      <c r="I245" s="25" t="n"/>
      <c r="J245" s="26" t="n"/>
    </row>
    <row r="246">
      <c r="A246" s="27" t="n"/>
      <c r="B246" s="25" t="n"/>
      <c r="C246" s="25" t="n"/>
      <c r="D246" s="25" t="n"/>
      <c r="E246" s="26" t="n"/>
      <c r="F246" s="30" t="n"/>
      <c r="G246" s="31">
        <f>IF($F246="","",IF($C246="Recette",$F246,-$F246))</f>
        <v/>
      </c>
      <c r="H246" s="25" t="n"/>
      <c r="I246" s="25" t="n"/>
      <c r="J246" s="26" t="n"/>
    </row>
    <row r="247">
      <c r="A247" s="27" t="n"/>
      <c r="B247" s="25" t="n"/>
      <c r="C247" s="25" t="n"/>
      <c r="D247" s="25" t="n"/>
      <c r="E247" s="26" t="n"/>
      <c r="F247" s="30" t="n"/>
      <c r="G247" s="31">
        <f>IF($F247="","",IF($C247="Recette",$F247,-$F247))</f>
        <v/>
      </c>
      <c r="H247" s="25" t="n"/>
      <c r="I247" s="25" t="n"/>
      <c r="J247" s="26" t="n"/>
    </row>
    <row r="248">
      <c r="A248" s="27" t="n"/>
      <c r="B248" s="25" t="n"/>
      <c r="C248" s="25" t="n"/>
      <c r="D248" s="25" t="n"/>
      <c r="E248" s="26" t="n"/>
      <c r="F248" s="30" t="n"/>
      <c r="G248" s="31">
        <f>IF($F248="","",IF($C248="Recette",$F248,-$F248))</f>
        <v/>
      </c>
      <c r="H248" s="25" t="n"/>
      <c r="I248" s="25" t="n"/>
      <c r="J248" s="26" t="n"/>
    </row>
    <row r="249">
      <c r="A249" s="27" t="n"/>
      <c r="B249" s="25" t="n"/>
      <c r="C249" s="25" t="n"/>
      <c r="D249" s="25" t="n"/>
      <c r="E249" s="26" t="n"/>
      <c r="F249" s="30" t="n"/>
      <c r="G249" s="31">
        <f>IF($F249="","",IF($C249="Recette",$F249,-$F249))</f>
        <v/>
      </c>
      <c r="H249" s="25" t="n"/>
      <c r="I249" s="25" t="n"/>
      <c r="J249" s="26" t="n"/>
    </row>
    <row r="250">
      <c r="A250" s="27" t="n"/>
      <c r="B250" s="25" t="n"/>
      <c r="C250" s="25" t="n"/>
      <c r="D250" s="25" t="n"/>
      <c r="E250" s="26" t="n"/>
      <c r="F250" s="30" t="n"/>
      <c r="G250" s="31">
        <f>IF($F250="","",IF($C250="Recette",$F250,-$F250))</f>
        <v/>
      </c>
      <c r="H250" s="25" t="n"/>
      <c r="I250" s="25" t="n"/>
      <c r="J250" s="26" t="n"/>
    </row>
    <row r="251">
      <c r="A251" s="27" t="n"/>
      <c r="B251" s="25" t="n"/>
      <c r="C251" s="25" t="n"/>
      <c r="D251" s="25" t="n"/>
      <c r="E251" s="26" t="n"/>
      <c r="F251" s="30" t="n"/>
      <c r="G251" s="31">
        <f>IF($F251="","",IF($C251="Recette",$F251,-$F251))</f>
        <v/>
      </c>
      <c r="H251" s="25" t="n"/>
      <c r="I251" s="25" t="n"/>
      <c r="J251" s="26" t="n"/>
    </row>
    <row r="252">
      <c r="A252" s="27" t="n"/>
      <c r="B252" s="25" t="n"/>
      <c r="C252" s="25" t="n"/>
      <c r="D252" s="25" t="n"/>
      <c r="E252" s="26" t="n"/>
      <c r="F252" s="30" t="n"/>
      <c r="G252" s="31">
        <f>IF($F252="","",IF($C252="Recette",$F252,-$F252))</f>
        <v/>
      </c>
      <c r="H252" s="25" t="n"/>
      <c r="I252" s="25" t="n"/>
      <c r="J252" s="26" t="n"/>
    </row>
    <row r="253">
      <c r="A253" s="27" t="n"/>
      <c r="B253" s="25" t="n"/>
      <c r="C253" s="25" t="n"/>
      <c r="D253" s="25" t="n"/>
      <c r="E253" s="26" t="n"/>
      <c r="F253" s="30" t="n"/>
      <c r="G253" s="31">
        <f>IF($F253="","",IF($C253="Recette",$F253,-$F253))</f>
        <v/>
      </c>
      <c r="H253" s="25" t="n"/>
      <c r="I253" s="25" t="n"/>
      <c r="J253" s="26" t="n"/>
    </row>
    <row r="254">
      <c r="A254" s="27" t="n"/>
      <c r="B254" s="25" t="n"/>
      <c r="C254" s="25" t="n"/>
      <c r="D254" s="25" t="n"/>
      <c r="E254" s="26" t="n"/>
      <c r="F254" s="30" t="n"/>
      <c r="G254" s="31">
        <f>IF($F254="","",IF($C254="Recette",$F254,-$F254))</f>
        <v/>
      </c>
      <c r="H254" s="25" t="n"/>
      <c r="I254" s="25" t="n"/>
      <c r="J254" s="26" t="n"/>
    </row>
    <row r="255">
      <c r="A255" s="27" t="n"/>
      <c r="B255" s="25" t="n"/>
      <c r="C255" s="25" t="n"/>
      <c r="D255" s="25" t="n"/>
      <c r="E255" s="26" t="n"/>
      <c r="F255" s="30" t="n"/>
      <c r="G255" s="31">
        <f>IF($F255="","",IF($C255="Recette",$F255,-$F255))</f>
        <v/>
      </c>
      <c r="H255" s="25" t="n"/>
      <c r="I255" s="25" t="n"/>
      <c r="J255" s="26" t="n"/>
    </row>
    <row r="256">
      <c r="A256" s="27" t="n"/>
      <c r="B256" s="25" t="n"/>
      <c r="C256" s="25" t="n"/>
      <c r="D256" s="25" t="n"/>
      <c r="E256" s="26" t="n"/>
      <c r="F256" s="30" t="n"/>
      <c r="G256" s="31">
        <f>IF($F256="","",IF($C256="Recette",$F256,-$F256))</f>
        <v/>
      </c>
      <c r="H256" s="25" t="n"/>
      <c r="I256" s="25" t="n"/>
      <c r="J256" s="26" t="n"/>
    </row>
    <row r="257">
      <c r="A257" s="27" t="n"/>
      <c r="B257" s="25" t="n"/>
      <c r="C257" s="25" t="n"/>
      <c r="D257" s="25" t="n"/>
      <c r="E257" s="26" t="n"/>
      <c r="F257" s="30" t="n"/>
      <c r="G257" s="31">
        <f>IF($F257="","",IF($C257="Recette",$F257,-$F257))</f>
        <v/>
      </c>
      <c r="H257" s="25" t="n"/>
      <c r="I257" s="25" t="n"/>
      <c r="J257" s="26" t="n"/>
    </row>
    <row r="258">
      <c r="A258" s="27" t="n"/>
      <c r="B258" s="25" t="n"/>
      <c r="C258" s="25" t="n"/>
      <c r="D258" s="25" t="n"/>
      <c r="E258" s="26" t="n"/>
      <c r="F258" s="30" t="n"/>
      <c r="G258" s="31">
        <f>IF($F258="","",IF($C258="Recette",$F258,-$F258))</f>
        <v/>
      </c>
      <c r="H258" s="25" t="n"/>
      <c r="I258" s="25" t="n"/>
      <c r="J258" s="26" t="n"/>
    </row>
    <row r="259">
      <c r="A259" s="27" t="n"/>
      <c r="B259" s="25" t="n"/>
      <c r="C259" s="25" t="n"/>
      <c r="D259" s="25" t="n"/>
      <c r="E259" s="26" t="n"/>
      <c r="F259" s="30" t="n"/>
      <c r="G259" s="31">
        <f>IF($F259="","",IF($C259="Recette",$F259,-$F259))</f>
        <v/>
      </c>
      <c r="H259" s="25" t="n"/>
      <c r="I259" s="25" t="n"/>
      <c r="J259" s="26" t="n"/>
    </row>
    <row r="260">
      <c r="A260" s="27" t="n"/>
      <c r="B260" s="25" t="n"/>
      <c r="C260" s="25" t="n"/>
      <c r="D260" s="25" t="n"/>
      <c r="E260" s="26" t="n"/>
      <c r="F260" s="30" t="n"/>
      <c r="G260" s="31">
        <f>IF($F260="","",IF($C260="Recette",$F260,-$F260))</f>
        <v/>
      </c>
      <c r="H260" s="25" t="n"/>
      <c r="I260" s="25" t="n"/>
      <c r="J260" s="26" t="n"/>
    </row>
    <row r="261">
      <c r="A261" s="27" t="n"/>
      <c r="B261" s="25" t="n"/>
      <c r="C261" s="25" t="n"/>
      <c r="D261" s="25" t="n"/>
      <c r="E261" s="26" t="n"/>
      <c r="F261" s="30" t="n"/>
      <c r="G261" s="31">
        <f>IF($F261="","",IF($C261="Recette",$F261,-$F261))</f>
        <v/>
      </c>
      <c r="H261" s="25" t="n"/>
      <c r="I261" s="25" t="n"/>
      <c r="J261" s="26" t="n"/>
    </row>
    <row r="262">
      <c r="A262" s="27" t="n"/>
      <c r="B262" s="25" t="n"/>
      <c r="C262" s="25" t="n"/>
      <c r="D262" s="25" t="n"/>
      <c r="E262" s="26" t="n"/>
      <c r="F262" s="30" t="n"/>
      <c r="G262" s="31">
        <f>IF($F262="","",IF($C262="Recette",$F262,-$F262))</f>
        <v/>
      </c>
      <c r="H262" s="25" t="n"/>
      <c r="I262" s="25" t="n"/>
      <c r="J262" s="26" t="n"/>
    </row>
    <row r="263">
      <c r="A263" s="27" t="n"/>
      <c r="B263" s="25" t="n"/>
      <c r="C263" s="25" t="n"/>
      <c r="D263" s="25" t="n"/>
      <c r="E263" s="26" t="n"/>
      <c r="F263" s="30" t="n"/>
      <c r="G263" s="31">
        <f>IF($F263="","",IF($C263="Recette",$F263,-$F263))</f>
        <v/>
      </c>
      <c r="H263" s="25" t="n"/>
      <c r="I263" s="25" t="n"/>
      <c r="J263" s="26" t="n"/>
    </row>
    <row r="264">
      <c r="A264" s="27" t="n"/>
      <c r="B264" s="25" t="n"/>
      <c r="C264" s="25" t="n"/>
      <c r="D264" s="25" t="n"/>
      <c r="E264" s="26" t="n"/>
      <c r="F264" s="30" t="n"/>
      <c r="G264" s="31">
        <f>IF($F264="","",IF($C264="Recette",$F264,-$F264))</f>
        <v/>
      </c>
      <c r="H264" s="25" t="n"/>
      <c r="I264" s="25" t="n"/>
      <c r="J264" s="26" t="n"/>
    </row>
    <row r="265">
      <c r="A265" s="27" t="n"/>
      <c r="B265" s="25" t="n"/>
      <c r="C265" s="25" t="n"/>
      <c r="D265" s="25" t="n"/>
      <c r="E265" s="26" t="n"/>
      <c r="F265" s="30" t="n"/>
      <c r="G265" s="31">
        <f>IF($F265="","",IF($C265="Recette",$F265,-$F265))</f>
        <v/>
      </c>
      <c r="H265" s="25" t="n"/>
      <c r="I265" s="25" t="n"/>
      <c r="J265" s="26" t="n"/>
    </row>
    <row r="266">
      <c r="A266" s="27" t="n"/>
      <c r="B266" s="25" t="n"/>
      <c r="C266" s="25" t="n"/>
      <c r="D266" s="25" t="n"/>
      <c r="E266" s="26" t="n"/>
      <c r="F266" s="30" t="n"/>
      <c r="G266" s="31">
        <f>IF($F266="","",IF($C266="Recette",$F266,-$F266))</f>
        <v/>
      </c>
      <c r="H266" s="25" t="n"/>
      <c r="I266" s="25" t="n"/>
      <c r="J266" s="26" t="n"/>
    </row>
    <row r="267">
      <c r="A267" s="27" t="n"/>
      <c r="B267" s="25" t="n"/>
      <c r="C267" s="25" t="n"/>
      <c r="D267" s="25" t="n"/>
      <c r="E267" s="26" t="n"/>
      <c r="F267" s="30" t="n"/>
      <c r="G267" s="31">
        <f>IF($F267="","",IF($C267="Recette",$F267,-$F267))</f>
        <v/>
      </c>
      <c r="H267" s="25" t="n"/>
      <c r="I267" s="25" t="n"/>
      <c r="J267" s="26" t="n"/>
    </row>
    <row r="268">
      <c r="A268" s="27" t="n"/>
      <c r="B268" s="25" t="n"/>
      <c r="C268" s="25" t="n"/>
      <c r="D268" s="25" t="n"/>
      <c r="E268" s="26" t="n"/>
      <c r="F268" s="30" t="n"/>
      <c r="G268" s="31">
        <f>IF($F268="","",IF($C268="Recette",$F268,-$F268))</f>
        <v/>
      </c>
      <c r="H268" s="25" t="n"/>
      <c r="I268" s="25" t="n"/>
      <c r="J268" s="26" t="n"/>
    </row>
    <row r="269">
      <c r="A269" s="27" t="n"/>
      <c r="B269" s="25" t="n"/>
      <c r="C269" s="25" t="n"/>
      <c r="D269" s="25" t="n"/>
      <c r="E269" s="26" t="n"/>
      <c r="F269" s="30" t="n"/>
      <c r="G269" s="31">
        <f>IF($F269="","",IF($C269="Recette",$F269,-$F269))</f>
        <v/>
      </c>
      <c r="H269" s="25" t="n"/>
      <c r="I269" s="25" t="n"/>
      <c r="J269" s="26" t="n"/>
    </row>
    <row r="270">
      <c r="A270" s="27" t="n"/>
      <c r="B270" s="25" t="n"/>
      <c r="C270" s="25" t="n"/>
      <c r="D270" s="25" t="n"/>
      <c r="E270" s="26" t="n"/>
      <c r="F270" s="30" t="n"/>
      <c r="G270" s="31">
        <f>IF($F270="","",IF($C270="Recette",$F270,-$F270))</f>
        <v/>
      </c>
      <c r="H270" s="25" t="n"/>
      <c r="I270" s="25" t="n"/>
      <c r="J270" s="26" t="n"/>
    </row>
    <row r="271">
      <c r="A271" s="27" t="n"/>
      <c r="B271" s="25" t="n"/>
      <c r="C271" s="25" t="n"/>
      <c r="D271" s="25" t="n"/>
      <c r="E271" s="26" t="n"/>
      <c r="F271" s="30" t="n"/>
      <c r="G271" s="31">
        <f>IF($F271="","",IF($C271="Recette",$F271,-$F271))</f>
        <v/>
      </c>
      <c r="H271" s="25" t="n"/>
      <c r="I271" s="25" t="n"/>
      <c r="J271" s="26" t="n"/>
    </row>
    <row r="272">
      <c r="A272" s="27" t="n"/>
      <c r="B272" s="25" t="n"/>
      <c r="C272" s="25" t="n"/>
      <c r="D272" s="25" t="n"/>
      <c r="E272" s="26" t="n"/>
      <c r="F272" s="30" t="n"/>
      <c r="G272" s="31">
        <f>IF($F272="","",IF($C272="Recette",$F272,-$F272))</f>
        <v/>
      </c>
      <c r="H272" s="25" t="n"/>
      <c r="I272" s="25" t="n"/>
      <c r="J272" s="26" t="n"/>
    </row>
    <row r="273">
      <c r="A273" s="27" t="n"/>
      <c r="B273" s="25" t="n"/>
      <c r="C273" s="25" t="n"/>
      <c r="D273" s="25" t="n"/>
      <c r="E273" s="26" t="n"/>
      <c r="F273" s="30" t="n"/>
      <c r="G273" s="31">
        <f>IF($F273="","",IF($C273="Recette",$F273,-$F273))</f>
        <v/>
      </c>
      <c r="H273" s="25" t="n"/>
      <c r="I273" s="25" t="n"/>
      <c r="J273" s="26" t="n"/>
    </row>
    <row r="274">
      <c r="A274" s="27" t="n"/>
      <c r="B274" s="25" t="n"/>
      <c r="C274" s="25" t="n"/>
      <c r="D274" s="25" t="n"/>
      <c r="E274" s="26" t="n"/>
      <c r="F274" s="30" t="n"/>
      <c r="G274" s="31">
        <f>IF($F274="","",IF($C274="Recette",$F274,-$F274))</f>
        <v/>
      </c>
      <c r="H274" s="25" t="n"/>
      <c r="I274" s="25" t="n"/>
      <c r="J274" s="26" t="n"/>
    </row>
    <row r="275">
      <c r="A275" s="27" t="n"/>
      <c r="B275" s="25" t="n"/>
      <c r="C275" s="25" t="n"/>
      <c r="D275" s="25" t="n"/>
      <c r="E275" s="26" t="n"/>
      <c r="F275" s="30" t="n"/>
      <c r="G275" s="31">
        <f>IF($F275="","",IF($C275="Recette",$F275,-$F275))</f>
        <v/>
      </c>
      <c r="H275" s="25" t="n"/>
      <c r="I275" s="25" t="n"/>
      <c r="J275" s="26" t="n"/>
    </row>
    <row r="276">
      <c r="A276" s="27" t="n"/>
      <c r="B276" s="25" t="n"/>
      <c r="C276" s="25" t="n"/>
      <c r="D276" s="25" t="n"/>
      <c r="E276" s="26" t="n"/>
      <c r="F276" s="30" t="n"/>
      <c r="G276" s="31">
        <f>IF($F276="","",IF($C276="Recette",$F276,-$F276))</f>
        <v/>
      </c>
      <c r="H276" s="25" t="n"/>
      <c r="I276" s="25" t="n"/>
      <c r="J276" s="26" t="n"/>
    </row>
    <row r="277">
      <c r="A277" s="27" t="n"/>
      <c r="B277" s="25" t="n"/>
      <c r="C277" s="25" t="n"/>
      <c r="D277" s="25" t="n"/>
      <c r="E277" s="26" t="n"/>
      <c r="F277" s="30" t="n"/>
      <c r="G277" s="31">
        <f>IF($F277="","",IF($C277="Recette",$F277,-$F277))</f>
        <v/>
      </c>
      <c r="H277" s="25" t="n"/>
      <c r="I277" s="25" t="n"/>
      <c r="J277" s="26" t="n"/>
    </row>
    <row r="278">
      <c r="A278" s="27" t="n"/>
      <c r="B278" s="25" t="n"/>
      <c r="C278" s="25" t="n"/>
      <c r="D278" s="25" t="n"/>
      <c r="E278" s="26" t="n"/>
      <c r="F278" s="30" t="n"/>
      <c r="G278" s="31">
        <f>IF($F278="","",IF($C278="Recette",$F278,-$F278))</f>
        <v/>
      </c>
      <c r="H278" s="25" t="n"/>
      <c r="I278" s="25" t="n"/>
      <c r="J278" s="26" t="n"/>
    </row>
    <row r="279">
      <c r="A279" s="27" t="n"/>
      <c r="B279" s="25" t="n"/>
      <c r="C279" s="25" t="n"/>
      <c r="D279" s="25" t="n"/>
      <c r="E279" s="26" t="n"/>
      <c r="F279" s="30" t="n"/>
      <c r="G279" s="31">
        <f>IF($F279="","",IF($C279="Recette",$F279,-$F279))</f>
        <v/>
      </c>
      <c r="H279" s="25" t="n"/>
      <c r="I279" s="25" t="n"/>
      <c r="J279" s="26" t="n"/>
    </row>
    <row r="280">
      <c r="A280" s="27" t="n"/>
      <c r="B280" s="25" t="n"/>
      <c r="C280" s="25" t="n"/>
      <c r="D280" s="25" t="n"/>
      <c r="E280" s="26" t="n"/>
      <c r="F280" s="30" t="n"/>
      <c r="G280" s="31">
        <f>IF($F280="","",IF($C280="Recette",$F280,-$F280))</f>
        <v/>
      </c>
      <c r="H280" s="25" t="n"/>
      <c r="I280" s="25" t="n"/>
      <c r="J280" s="26" t="n"/>
    </row>
    <row r="281">
      <c r="A281" s="27" t="n"/>
      <c r="B281" s="25" t="n"/>
      <c r="C281" s="25" t="n"/>
      <c r="D281" s="25" t="n"/>
      <c r="E281" s="26" t="n"/>
      <c r="F281" s="30" t="n"/>
      <c r="G281" s="31">
        <f>IF($F281="","",IF($C281="Recette",$F281,-$F281))</f>
        <v/>
      </c>
      <c r="H281" s="25" t="n"/>
      <c r="I281" s="25" t="n"/>
      <c r="J281" s="26" t="n"/>
    </row>
    <row r="282">
      <c r="A282" s="27" t="n"/>
      <c r="B282" s="25" t="n"/>
      <c r="C282" s="25" t="n"/>
      <c r="D282" s="25" t="n"/>
      <c r="E282" s="26" t="n"/>
      <c r="F282" s="30" t="n"/>
      <c r="G282" s="31">
        <f>IF($F282="","",IF($C282="Recette",$F282,-$F282))</f>
        <v/>
      </c>
      <c r="H282" s="25" t="n"/>
      <c r="I282" s="25" t="n"/>
      <c r="J282" s="26" t="n"/>
    </row>
    <row r="283">
      <c r="A283" s="27" t="n"/>
      <c r="B283" s="25" t="n"/>
      <c r="C283" s="25" t="n"/>
      <c r="D283" s="25" t="n"/>
      <c r="E283" s="26" t="n"/>
      <c r="F283" s="30" t="n"/>
      <c r="G283" s="31">
        <f>IF($F283="","",IF($C283="Recette",$F283,-$F283))</f>
        <v/>
      </c>
      <c r="H283" s="25" t="n"/>
      <c r="I283" s="25" t="n"/>
      <c r="J283" s="26" t="n"/>
    </row>
    <row r="284">
      <c r="A284" s="27" t="n"/>
      <c r="B284" s="25" t="n"/>
      <c r="C284" s="25" t="n"/>
      <c r="D284" s="25" t="n"/>
      <c r="E284" s="26" t="n"/>
      <c r="F284" s="30" t="n"/>
      <c r="G284" s="31">
        <f>IF($F284="","",IF($C284="Recette",$F284,-$F284))</f>
        <v/>
      </c>
      <c r="H284" s="25" t="n"/>
      <c r="I284" s="25" t="n"/>
      <c r="J284" s="26" t="n"/>
    </row>
    <row r="285">
      <c r="A285" s="27" t="n"/>
      <c r="B285" s="25" t="n"/>
      <c r="C285" s="25" t="n"/>
      <c r="D285" s="25" t="n"/>
      <c r="E285" s="26" t="n"/>
      <c r="F285" s="30" t="n"/>
      <c r="G285" s="31">
        <f>IF($F285="","",IF($C285="Recette",$F285,-$F285))</f>
        <v/>
      </c>
      <c r="H285" s="25" t="n"/>
      <c r="I285" s="25" t="n"/>
      <c r="J285" s="26" t="n"/>
    </row>
    <row r="286">
      <c r="A286" s="27" t="n"/>
      <c r="B286" s="25" t="n"/>
      <c r="C286" s="25" t="n"/>
      <c r="D286" s="25" t="n"/>
      <c r="E286" s="26" t="n"/>
      <c r="F286" s="30" t="n"/>
      <c r="G286" s="31">
        <f>IF($F286="","",IF($C286="Recette",$F286,-$F286))</f>
        <v/>
      </c>
      <c r="H286" s="25" t="n"/>
      <c r="I286" s="25" t="n"/>
      <c r="J286" s="26" t="n"/>
    </row>
    <row r="287">
      <c r="A287" s="27" t="n"/>
      <c r="B287" s="25" t="n"/>
      <c r="C287" s="25" t="n"/>
      <c r="D287" s="25" t="n"/>
      <c r="E287" s="26" t="n"/>
      <c r="F287" s="30" t="n"/>
      <c r="G287" s="31">
        <f>IF($F287="","",IF($C287="Recette",$F287,-$F287))</f>
        <v/>
      </c>
      <c r="H287" s="25" t="n"/>
      <c r="I287" s="25" t="n"/>
      <c r="J287" s="26" t="n"/>
    </row>
    <row r="288">
      <c r="A288" s="27" t="n"/>
      <c r="B288" s="25" t="n"/>
      <c r="C288" s="25" t="n"/>
      <c r="D288" s="25" t="n"/>
      <c r="E288" s="26" t="n"/>
      <c r="F288" s="30" t="n"/>
      <c r="G288" s="31">
        <f>IF($F288="","",IF($C288="Recette",$F288,-$F288))</f>
        <v/>
      </c>
      <c r="H288" s="25" t="n"/>
      <c r="I288" s="25" t="n"/>
      <c r="J288" s="26" t="n"/>
    </row>
    <row r="289">
      <c r="A289" s="27" t="n"/>
      <c r="B289" s="25" t="n"/>
      <c r="C289" s="25" t="n"/>
      <c r="D289" s="25" t="n"/>
      <c r="E289" s="26" t="n"/>
      <c r="F289" s="30" t="n"/>
      <c r="G289" s="31">
        <f>IF($F289="","",IF($C289="Recette",$F289,-$F289))</f>
        <v/>
      </c>
      <c r="H289" s="25" t="n"/>
      <c r="I289" s="25" t="n"/>
      <c r="J289" s="26" t="n"/>
    </row>
    <row r="290">
      <c r="A290" s="27" t="n"/>
      <c r="B290" s="25" t="n"/>
      <c r="C290" s="25" t="n"/>
      <c r="D290" s="25" t="n"/>
      <c r="E290" s="26" t="n"/>
      <c r="F290" s="30" t="n"/>
      <c r="G290" s="31">
        <f>IF($F290="","",IF($C290="Recette",$F290,-$F290))</f>
        <v/>
      </c>
      <c r="H290" s="25" t="n"/>
      <c r="I290" s="25" t="n"/>
      <c r="J290" s="26" t="n"/>
    </row>
    <row r="291">
      <c r="A291" s="27" t="n"/>
      <c r="B291" s="25" t="n"/>
      <c r="C291" s="25" t="n"/>
      <c r="D291" s="25" t="n"/>
      <c r="E291" s="26" t="n"/>
      <c r="F291" s="30" t="n"/>
      <c r="G291" s="31">
        <f>IF($F291="","",IF($C291="Recette",$F291,-$F291))</f>
        <v/>
      </c>
      <c r="H291" s="25" t="n"/>
      <c r="I291" s="25" t="n"/>
      <c r="J291" s="26" t="n"/>
    </row>
    <row r="292">
      <c r="A292" s="27" t="n"/>
      <c r="B292" s="25" t="n"/>
      <c r="C292" s="25" t="n"/>
      <c r="D292" s="25" t="n"/>
      <c r="E292" s="26" t="n"/>
      <c r="F292" s="30" t="n"/>
      <c r="G292" s="31">
        <f>IF($F292="","",IF($C292="Recette",$F292,-$F292))</f>
        <v/>
      </c>
      <c r="H292" s="25" t="n"/>
      <c r="I292" s="25" t="n"/>
      <c r="J292" s="26" t="n"/>
    </row>
    <row r="293">
      <c r="A293" s="27" t="n"/>
      <c r="B293" s="25" t="n"/>
      <c r="C293" s="25" t="n"/>
      <c r="D293" s="25" t="n"/>
      <c r="E293" s="26" t="n"/>
      <c r="F293" s="30" t="n"/>
      <c r="G293" s="31">
        <f>IF($F293="","",IF($C293="Recette",$F293,-$F293))</f>
        <v/>
      </c>
      <c r="H293" s="25" t="n"/>
      <c r="I293" s="25" t="n"/>
      <c r="J293" s="26" t="n"/>
    </row>
    <row r="294">
      <c r="A294" s="27" t="n"/>
      <c r="B294" s="25" t="n"/>
      <c r="C294" s="25" t="n"/>
      <c r="D294" s="25" t="n"/>
      <c r="E294" s="26" t="n"/>
      <c r="F294" s="30" t="n"/>
      <c r="G294" s="31">
        <f>IF($F294="","",IF($C294="Recette",$F294,-$F294))</f>
        <v/>
      </c>
      <c r="H294" s="25" t="n"/>
      <c r="I294" s="25" t="n"/>
      <c r="J294" s="26" t="n"/>
    </row>
    <row r="295">
      <c r="A295" s="27" t="n"/>
      <c r="B295" s="25" t="n"/>
      <c r="C295" s="25" t="n"/>
      <c r="D295" s="25" t="n"/>
      <c r="E295" s="26" t="n"/>
      <c r="F295" s="30" t="n"/>
      <c r="G295" s="31">
        <f>IF($F295="","",IF($C295="Recette",$F295,-$F295))</f>
        <v/>
      </c>
      <c r="H295" s="25" t="n"/>
      <c r="I295" s="25" t="n"/>
      <c r="J295" s="26" t="n"/>
    </row>
    <row r="296">
      <c r="A296" s="27" t="n"/>
      <c r="B296" s="25" t="n"/>
      <c r="C296" s="25" t="n"/>
      <c r="D296" s="25" t="n"/>
      <c r="E296" s="26" t="n"/>
      <c r="F296" s="30" t="n"/>
      <c r="G296" s="31">
        <f>IF($F296="","",IF($C296="Recette",$F296,-$F296))</f>
        <v/>
      </c>
      <c r="H296" s="25" t="n"/>
      <c r="I296" s="25" t="n"/>
      <c r="J296" s="26" t="n"/>
    </row>
    <row r="297">
      <c r="A297" s="27" t="n"/>
      <c r="B297" s="25" t="n"/>
      <c r="C297" s="25" t="n"/>
      <c r="D297" s="25" t="n"/>
      <c r="E297" s="26" t="n"/>
      <c r="F297" s="30" t="n"/>
      <c r="G297" s="31">
        <f>IF($F297="","",IF($C297="Recette",$F297,-$F297))</f>
        <v/>
      </c>
      <c r="H297" s="25" t="n"/>
      <c r="I297" s="25" t="n"/>
      <c r="J297" s="26" t="n"/>
    </row>
    <row r="298">
      <c r="A298" s="27" t="n"/>
      <c r="B298" s="25" t="n"/>
      <c r="C298" s="25" t="n"/>
      <c r="D298" s="25" t="n"/>
      <c r="E298" s="26" t="n"/>
      <c r="F298" s="30" t="n"/>
      <c r="G298" s="31">
        <f>IF($F298="","",IF($C298="Recette",$F298,-$F298))</f>
        <v/>
      </c>
      <c r="H298" s="25" t="n"/>
      <c r="I298" s="25" t="n"/>
      <c r="J298" s="26" t="n"/>
    </row>
    <row r="299">
      <c r="A299" s="27" t="n"/>
      <c r="B299" s="25" t="n"/>
      <c r="C299" s="25" t="n"/>
      <c r="D299" s="25" t="n"/>
      <c r="E299" s="26" t="n"/>
      <c r="F299" s="30" t="n"/>
      <c r="G299" s="31">
        <f>IF($F299="","",IF($C299="Recette",$F299,-$F299))</f>
        <v/>
      </c>
      <c r="H299" s="25" t="n"/>
      <c r="I299" s="25" t="n"/>
      <c r="J299" s="26" t="n"/>
    </row>
    <row r="300">
      <c r="A300" s="27" t="n"/>
      <c r="B300" s="25" t="n"/>
      <c r="C300" s="25" t="n"/>
      <c r="D300" s="25" t="n"/>
      <c r="E300" s="26" t="n"/>
      <c r="F300" s="30" t="n"/>
      <c r="G300" s="31">
        <f>IF($F300="","",IF($C300="Recette",$F300,-$F300))</f>
        <v/>
      </c>
      <c r="H300" s="25" t="n"/>
      <c r="I300" s="25" t="n"/>
      <c r="J300" s="26" t="n"/>
    </row>
    <row r="301">
      <c r="A301" s="27" t="n"/>
      <c r="B301" s="25" t="n"/>
      <c r="C301" s="25" t="n"/>
      <c r="D301" s="25" t="n"/>
      <c r="E301" s="26" t="n"/>
      <c r="F301" s="30" t="n"/>
      <c r="G301" s="31">
        <f>IF($F301="","",IF($C301="Recette",$F301,-$F301))</f>
        <v/>
      </c>
      <c r="H301" s="25" t="n"/>
      <c r="I301" s="25" t="n"/>
      <c r="J301" s="26" t="n"/>
    </row>
    <row r="302">
      <c r="A302" s="27" t="n"/>
      <c r="B302" s="25" t="n"/>
      <c r="C302" s="25" t="n"/>
      <c r="D302" s="25" t="n"/>
      <c r="E302" s="26" t="n"/>
      <c r="F302" s="30" t="n"/>
      <c r="G302" s="31">
        <f>IF($F302="","",IF($C302="Recette",$F302,-$F302))</f>
        <v/>
      </c>
      <c r="H302" s="25" t="n"/>
      <c r="I302" s="25" t="n"/>
      <c r="J302" s="26" t="n"/>
    </row>
    <row r="303">
      <c r="A303" s="27" t="n"/>
      <c r="B303" s="25" t="n"/>
      <c r="C303" s="25" t="n"/>
      <c r="D303" s="25" t="n"/>
      <c r="E303" s="26" t="n"/>
      <c r="F303" s="30" t="n"/>
      <c r="G303" s="31">
        <f>IF($F303="","",IF($C303="Recette",$F303,-$F303))</f>
        <v/>
      </c>
      <c r="H303" s="25" t="n"/>
      <c r="I303" s="25" t="n"/>
      <c r="J303" s="26" t="n"/>
    </row>
    <row r="304">
      <c r="A304" s="27" t="n"/>
      <c r="B304" s="25" t="n"/>
      <c r="C304" s="25" t="n"/>
      <c r="D304" s="25" t="n"/>
      <c r="E304" s="26" t="n"/>
      <c r="F304" s="30" t="n"/>
      <c r="G304" s="31">
        <f>IF($F304="","",IF($C304="Recette",$F304,-$F304))</f>
        <v/>
      </c>
      <c r="H304" s="25" t="n"/>
      <c r="I304" s="25" t="n"/>
      <c r="J304" s="2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7B6"/>
  <autoFilter ref="A4:J304"/>
  <mergeCells count="3">
    <mergeCell ref="A1:B2"/>
    <mergeCell ref="C1:J1"/>
    <mergeCell ref="C2:J2"/>
  </mergeCells>
  <conditionalFormatting sqref="C5:C304">
    <cfRule type="cellIs" priority="1" operator="equal" dxfId="7">
      <formula>"Dépense"</formula>
    </cfRule>
    <cfRule type="cellIs" priority="2" operator="equal" dxfId="8">
      <formula>"Recette"</formula>
    </cfRule>
  </conditionalFormatting>
  <dataValidations count="4">
    <dataValidation sqref="B5:B304" showDropDown="0" showInputMessage="0" showErrorMessage="0" allowBlank="1" type="list">
      <formula1>=Liste_BiensGeneral</formula1>
    </dataValidation>
    <dataValidation sqref="C5:C304" showDropDown="0" showInputMessage="0" showErrorMessage="0" allowBlank="1" type="list">
      <formula1>=Liste_TypeJournal</formula1>
    </dataValidation>
    <dataValidation sqref="D5:D304" showDropDown="0" showInputMessage="0" showErrorMessage="0" allowBlank="1" type="list">
      <formula1>=Liste_CategorieJournal</formula1>
    </dataValidation>
    <dataValidation sqref="H5:H304" showDropDown="0" showInputMessage="0" showErrorMessage="0" allowBlank="1" type="list">
      <formula1>=Liste_ModePaiement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D4AF37"/>
    <outlinePr summaryBelow="1" summaryRight="1"/>
    <pageSetUpPr fitToPage="1"/>
  </sheetPr>
  <dimension ref="A1:N16"/>
  <sheetViews>
    <sheetView showGridLines="0" tabSelected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2" customWidth="1" min="5" max="5"/>
    <col width="12" customWidth="1" min="6" max="6"/>
    <col width="11" customWidth="1" min="7" max="7"/>
    <col width="10" customWidth="1" min="8" max="8"/>
    <col width="11" customWidth="1" min="9" max="9"/>
    <col width="11" customWidth="1" min="10" max="10"/>
    <col width="12" customWidth="1" min="11" max="11"/>
    <col width="12" customWidth="1" min="12" max="12"/>
    <col width="12" customWidth="1" min="13" max="13"/>
    <col width="13" customWidth="1" min="14" max="14"/>
  </cols>
  <sheetData>
    <row r="1" ht="30" customHeight="1">
      <c r="A1" s="1" t="inlineStr">
        <is>
          <t>MG
HÔTE</t>
        </is>
      </c>
      <c r="C1" s="2" t="inlineStr">
        <is>
          <t>SYNTHÈSE MENSUELLE</t>
        </is>
      </c>
    </row>
    <row r="2" ht="20" customHeight="1">
      <c r="C2" s="3" t="inlineStr">
        <is>
          <t>12 derniers mois — se met à jour automatiquement à l'ouverture du fichier</t>
        </is>
      </c>
    </row>
    <row r="3" ht="18" customHeight="1">
      <c r="A3" s="14" t="inlineStr">
        <is>
          <t>Taux de commission MG Hôte appliqué (%)</t>
        </is>
      </c>
      <c r="E3" s="24" t="n">
        <v>0.2</v>
      </c>
    </row>
    <row r="4" ht="34" customHeight="1">
      <c r="A4" s="9" t="inlineStr">
        <is>
          <t>Mois</t>
        </is>
      </c>
      <c r="B4" s="9" t="inlineStr">
        <is>
          <t>Nuits réservées</t>
        </is>
      </c>
      <c r="C4" s="9" t="inlineStr">
        <is>
          <t>Taux d'occupation</t>
        </is>
      </c>
      <c r="D4" s="9" t="inlineStr">
        <is>
          <t>CA (Recettes)</t>
        </is>
      </c>
      <c r="E4" s="9" t="inlineStr">
        <is>
          <t>Maintenance</t>
        </is>
      </c>
      <c r="F4" s="9" t="inlineStr">
        <is>
          <t>Consommables</t>
        </is>
      </c>
      <c r="G4" s="9" t="inlineStr">
        <is>
          <t>Électricité</t>
        </is>
      </c>
      <c r="H4" s="9" t="inlineStr">
        <is>
          <t>Eau</t>
        </is>
      </c>
      <c r="I4" s="9" t="inlineStr">
        <is>
          <t>Publicité</t>
        </is>
      </c>
      <c r="J4" s="9" t="inlineStr">
        <is>
          <t>Autres dépenses</t>
        </is>
      </c>
      <c r="K4" s="9" t="inlineStr">
        <is>
          <t>Total dépenses</t>
        </is>
      </c>
      <c r="L4" s="9" t="inlineStr">
        <is>
          <t>Résultat net</t>
        </is>
      </c>
      <c r="M4" s="9" t="inlineStr">
        <is>
          <t>Commission MG Hôte</t>
        </is>
      </c>
      <c r="N4" s="9" t="inlineStr">
        <is>
          <t>Montant dû propriétaire</t>
        </is>
      </c>
    </row>
    <row r="5">
      <c r="A5" s="33">
        <f>EOMONTH(TODAY(),ROW()-17)+1</f>
        <v/>
      </c>
      <c r="B5" s="16">
        <f>SUMIFS(Réservations!$I$5:$I$204,Réservations!$G$5:$G$204,"&gt;="&amp;$A5,Réservations!$G$5:$G$204,"&lt;="&amp;EOMONTH($A5,0),Réservations!$Q$5:$Q$204,"&lt;&gt;Annulée")</f>
        <v/>
      </c>
      <c r="C5" s="34">
        <f>IFERROR($B5/(COUNTIFS(Biens!$H$5:$H$14,"Actif")*(EOMONTH($A5,0)-$A5+1)),0)</f>
        <v/>
      </c>
      <c r="D5" s="31">
        <f>SUMIFS('Journal Financier'!$G$5:$G$304,'Journal Financier'!$A$5:$A$304,"&gt;="&amp;$A5,'Journal Financier'!$A$5:$A$304,"&lt;="&amp;EOMONTH($A5,0),'Journal Financier'!$C$5:$C$304,"Recette")</f>
        <v/>
      </c>
      <c r="E5" s="31">
        <f>SUMIFS('Journal Financier'!$F$5:$F$304,'Journal Financier'!$A$5:$A$304,"&gt;="&amp;$A5,'Journal Financier'!$A$5:$A$304,"&lt;="&amp;EOMONTH($A5,0),'Journal Financier'!$C$5:$C$304,"Dépense",'Journal Financier'!$D$5:$D$304,"Maintenance")</f>
        <v/>
      </c>
      <c r="F5" s="31">
        <f>SUMIFS('Journal Financier'!$F$5:$F$304,'Journal Financier'!$A$5:$A$304,"&gt;="&amp;$A5,'Journal Financier'!$A$5:$A$304,"&lt;="&amp;EOMONTH($A5,0),'Journal Financier'!$C$5:$C$304,"Dépense",'Journal Financier'!$D$5:$D$304,"Consommables")</f>
        <v/>
      </c>
      <c r="G5" s="31">
        <f>SUMIFS('Journal Financier'!$F$5:$F$304,'Journal Financier'!$A$5:$A$304,"&gt;="&amp;$A5,'Journal Financier'!$A$5:$A$304,"&lt;="&amp;EOMONTH($A5,0),'Journal Financier'!$C$5:$C$304,"Dépense",'Journal Financier'!$D$5:$D$304,"Électricité")</f>
        <v/>
      </c>
      <c r="H5" s="31">
        <f>SUMIFS('Journal Financier'!$F$5:$F$304,'Journal Financier'!$A$5:$A$304,"&gt;="&amp;$A5,'Journal Financier'!$A$5:$A$304,"&lt;="&amp;EOMONTH($A5,0),'Journal Financier'!$C$5:$C$304,"Dépense",'Journal Financier'!$D$5:$D$304,"Eau")</f>
        <v/>
      </c>
      <c r="I5" s="31">
        <f>SUMIFS('Journal Financier'!$F$5:$F$304,'Journal Financier'!$A$5:$A$304,"&gt;="&amp;$A5,'Journal Financier'!$A$5:$A$304,"&lt;="&amp;EOMONTH($A5,0),'Journal Financier'!$C$5:$C$304,"Dépense",'Journal Financier'!$D$5:$D$304,"Publicité")</f>
        <v/>
      </c>
      <c r="J5" s="31">
        <f>SUMIFS('Journal Financier'!$F$5:$F$304,'Journal Financier'!$A$5:$A$304,"&gt;="&amp;$A5,'Journal Financier'!$A$5:$A$304,"&lt;="&amp;EOMONTH($A5,0),'Journal Financier'!$C$5:$C$304,"Dépense",'Journal Financier'!$D$5:$D$304,"Autre")</f>
        <v/>
      </c>
      <c r="K5" s="31">
        <f>SUM(E5:J5)</f>
        <v/>
      </c>
      <c r="L5" s="32">
        <f>D5-K5</f>
        <v/>
      </c>
      <c r="M5" s="31">
        <f>D5*$E$3</f>
        <v/>
      </c>
      <c r="N5" s="35">
        <f>L5-M5</f>
        <v/>
      </c>
    </row>
    <row r="6">
      <c r="A6" s="33">
        <f>EOMONTH(TODAY(),ROW()-17)+1</f>
        <v/>
      </c>
      <c r="B6" s="16">
        <f>SUMIFS(Réservations!$I$5:$I$204,Réservations!$G$5:$G$204,"&gt;="&amp;$A6,Réservations!$G$5:$G$204,"&lt;="&amp;EOMONTH($A6,0),Réservations!$Q$5:$Q$204,"&lt;&gt;Annulée")</f>
        <v/>
      </c>
      <c r="C6" s="34">
        <f>IFERROR($B6/(COUNTIFS(Biens!$H$5:$H$14,"Actif")*(EOMONTH($A6,0)-$A6+1)),0)</f>
        <v/>
      </c>
      <c r="D6" s="31">
        <f>SUMIFS('Journal Financier'!$G$5:$G$304,'Journal Financier'!$A$5:$A$304,"&gt;="&amp;$A6,'Journal Financier'!$A$5:$A$304,"&lt;="&amp;EOMONTH($A6,0),'Journal Financier'!$C$5:$C$304,"Recette")</f>
        <v/>
      </c>
      <c r="E6" s="31">
        <f>SUMIFS('Journal Financier'!$F$5:$F$304,'Journal Financier'!$A$5:$A$304,"&gt;="&amp;$A6,'Journal Financier'!$A$5:$A$304,"&lt;="&amp;EOMONTH($A6,0),'Journal Financier'!$C$5:$C$304,"Dépense",'Journal Financier'!$D$5:$D$304,"Maintenance")</f>
        <v/>
      </c>
      <c r="F6" s="31">
        <f>SUMIFS('Journal Financier'!$F$5:$F$304,'Journal Financier'!$A$5:$A$304,"&gt;="&amp;$A6,'Journal Financier'!$A$5:$A$304,"&lt;="&amp;EOMONTH($A6,0),'Journal Financier'!$C$5:$C$304,"Dépense",'Journal Financier'!$D$5:$D$304,"Consommables")</f>
        <v/>
      </c>
      <c r="G6" s="31">
        <f>SUMIFS('Journal Financier'!$F$5:$F$304,'Journal Financier'!$A$5:$A$304,"&gt;="&amp;$A6,'Journal Financier'!$A$5:$A$304,"&lt;="&amp;EOMONTH($A6,0),'Journal Financier'!$C$5:$C$304,"Dépense",'Journal Financier'!$D$5:$D$304,"Électricité")</f>
        <v/>
      </c>
      <c r="H6" s="31">
        <f>SUMIFS('Journal Financier'!$F$5:$F$304,'Journal Financier'!$A$5:$A$304,"&gt;="&amp;$A6,'Journal Financier'!$A$5:$A$304,"&lt;="&amp;EOMONTH($A6,0),'Journal Financier'!$C$5:$C$304,"Dépense",'Journal Financier'!$D$5:$D$304,"Eau")</f>
        <v/>
      </c>
      <c r="I6" s="31">
        <f>SUMIFS('Journal Financier'!$F$5:$F$304,'Journal Financier'!$A$5:$A$304,"&gt;="&amp;$A6,'Journal Financier'!$A$5:$A$304,"&lt;="&amp;EOMONTH($A6,0),'Journal Financier'!$C$5:$C$304,"Dépense",'Journal Financier'!$D$5:$D$304,"Publicité")</f>
        <v/>
      </c>
      <c r="J6" s="31">
        <f>SUMIFS('Journal Financier'!$F$5:$F$304,'Journal Financier'!$A$5:$A$304,"&gt;="&amp;$A6,'Journal Financier'!$A$5:$A$304,"&lt;="&amp;EOMONTH($A6,0),'Journal Financier'!$C$5:$C$304,"Dépense",'Journal Financier'!$D$5:$D$304,"Autre")</f>
        <v/>
      </c>
      <c r="K6" s="31">
        <f>SUM(E6:J6)</f>
        <v/>
      </c>
      <c r="L6" s="32">
        <f>D6-K6</f>
        <v/>
      </c>
      <c r="M6" s="31">
        <f>D6*$E$3</f>
        <v/>
      </c>
      <c r="N6" s="35">
        <f>L6-M6</f>
        <v/>
      </c>
    </row>
    <row r="7">
      <c r="A7" s="33">
        <f>EOMONTH(TODAY(),ROW()-17)+1</f>
        <v/>
      </c>
      <c r="B7" s="16">
        <f>SUMIFS(Réservations!$I$5:$I$204,Réservations!$G$5:$G$204,"&gt;="&amp;$A7,Réservations!$G$5:$G$204,"&lt;="&amp;EOMONTH($A7,0),Réservations!$Q$5:$Q$204,"&lt;&gt;Annulée")</f>
        <v/>
      </c>
      <c r="C7" s="34">
        <f>IFERROR($B7/(COUNTIFS(Biens!$H$5:$H$14,"Actif")*(EOMONTH($A7,0)-$A7+1)),0)</f>
        <v/>
      </c>
      <c r="D7" s="31">
        <f>SUMIFS('Journal Financier'!$G$5:$G$304,'Journal Financier'!$A$5:$A$304,"&gt;="&amp;$A7,'Journal Financier'!$A$5:$A$304,"&lt;="&amp;EOMONTH($A7,0),'Journal Financier'!$C$5:$C$304,"Recette")</f>
        <v/>
      </c>
      <c r="E7" s="31">
        <f>SUMIFS('Journal Financier'!$F$5:$F$304,'Journal Financier'!$A$5:$A$304,"&gt;="&amp;$A7,'Journal Financier'!$A$5:$A$304,"&lt;="&amp;EOMONTH($A7,0),'Journal Financier'!$C$5:$C$304,"Dépense",'Journal Financier'!$D$5:$D$304,"Maintenance")</f>
        <v/>
      </c>
      <c r="F7" s="31">
        <f>SUMIFS('Journal Financier'!$F$5:$F$304,'Journal Financier'!$A$5:$A$304,"&gt;="&amp;$A7,'Journal Financier'!$A$5:$A$304,"&lt;="&amp;EOMONTH($A7,0),'Journal Financier'!$C$5:$C$304,"Dépense",'Journal Financier'!$D$5:$D$304,"Consommables")</f>
        <v/>
      </c>
      <c r="G7" s="31">
        <f>SUMIFS('Journal Financier'!$F$5:$F$304,'Journal Financier'!$A$5:$A$304,"&gt;="&amp;$A7,'Journal Financier'!$A$5:$A$304,"&lt;="&amp;EOMONTH($A7,0),'Journal Financier'!$C$5:$C$304,"Dépense",'Journal Financier'!$D$5:$D$304,"Électricité")</f>
        <v/>
      </c>
      <c r="H7" s="31">
        <f>SUMIFS('Journal Financier'!$F$5:$F$304,'Journal Financier'!$A$5:$A$304,"&gt;="&amp;$A7,'Journal Financier'!$A$5:$A$304,"&lt;="&amp;EOMONTH($A7,0),'Journal Financier'!$C$5:$C$304,"Dépense",'Journal Financier'!$D$5:$D$304,"Eau")</f>
        <v/>
      </c>
      <c r="I7" s="31">
        <f>SUMIFS('Journal Financier'!$F$5:$F$304,'Journal Financier'!$A$5:$A$304,"&gt;="&amp;$A7,'Journal Financier'!$A$5:$A$304,"&lt;="&amp;EOMONTH($A7,0),'Journal Financier'!$C$5:$C$304,"Dépense",'Journal Financier'!$D$5:$D$304,"Publicité")</f>
        <v/>
      </c>
      <c r="J7" s="31">
        <f>SUMIFS('Journal Financier'!$F$5:$F$304,'Journal Financier'!$A$5:$A$304,"&gt;="&amp;$A7,'Journal Financier'!$A$5:$A$304,"&lt;="&amp;EOMONTH($A7,0),'Journal Financier'!$C$5:$C$304,"Dépense",'Journal Financier'!$D$5:$D$304,"Autre")</f>
        <v/>
      </c>
      <c r="K7" s="31">
        <f>SUM(E7:J7)</f>
        <v/>
      </c>
      <c r="L7" s="32">
        <f>D7-K7</f>
        <v/>
      </c>
      <c r="M7" s="31">
        <f>D7*$E$3</f>
        <v/>
      </c>
      <c r="N7" s="35">
        <f>L7-M7</f>
        <v/>
      </c>
    </row>
    <row r="8">
      <c r="A8" s="33">
        <f>EOMONTH(TODAY(),ROW()-17)+1</f>
        <v/>
      </c>
      <c r="B8" s="16">
        <f>SUMIFS(Réservations!$I$5:$I$204,Réservations!$G$5:$G$204,"&gt;="&amp;$A8,Réservations!$G$5:$G$204,"&lt;="&amp;EOMONTH($A8,0),Réservations!$Q$5:$Q$204,"&lt;&gt;Annulée")</f>
        <v/>
      </c>
      <c r="C8" s="34">
        <f>IFERROR($B8/(COUNTIFS(Biens!$H$5:$H$14,"Actif")*(EOMONTH($A8,0)-$A8+1)),0)</f>
        <v/>
      </c>
      <c r="D8" s="31">
        <f>SUMIFS('Journal Financier'!$G$5:$G$304,'Journal Financier'!$A$5:$A$304,"&gt;="&amp;$A8,'Journal Financier'!$A$5:$A$304,"&lt;="&amp;EOMONTH($A8,0),'Journal Financier'!$C$5:$C$304,"Recette")</f>
        <v/>
      </c>
      <c r="E8" s="31">
        <f>SUMIFS('Journal Financier'!$F$5:$F$304,'Journal Financier'!$A$5:$A$304,"&gt;="&amp;$A8,'Journal Financier'!$A$5:$A$304,"&lt;="&amp;EOMONTH($A8,0),'Journal Financier'!$C$5:$C$304,"Dépense",'Journal Financier'!$D$5:$D$304,"Maintenance")</f>
        <v/>
      </c>
      <c r="F8" s="31">
        <f>SUMIFS('Journal Financier'!$F$5:$F$304,'Journal Financier'!$A$5:$A$304,"&gt;="&amp;$A8,'Journal Financier'!$A$5:$A$304,"&lt;="&amp;EOMONTH($A8,0),'Journal Financier'!$C$5:$C$304,"Dépense",'Journal Financier'!$D$5:$D$304,"Consommables")</f>
        <v/>
      </c>
      <c r="G8" s="31">
        <f>SUMIFS('Journal Financier'!$F$5:$F$304,'Journal Financier'!$A$5:$A$304,"&gt;="&amp;$A8,'Journal Financier'!$A$5:$A$304,"&lt;="&amp;EOMONTH($A8,0),'Journal Financier'!$C$5:$C$304,"Dépense",'Journal Financier'!$D$5:$D$304,"Électricité")</f>
        <v/>
      </c>
      <c r="H8" s="31">
        <f>SUMIFS('Journal Financier'!$F$5:$F$304,'Journal Financier'!$A$5:$A$304,"&gt;="&amp;$A8,'Journal Financier'!$A$5:$A$304,"&lt;="&amp;EOMONTH($A8,0),'Journal Financier'!$C$5:$C$304,"Dépense",'Journal Financier'!$D$5:$D$304,"Eau")</f>
        <v/>
      </c>
      <c r="I8" s="31">
        <f>SUMIFS('Journal Financier'!$F$5:$F$304,'Journal Financier'!$A$5:$A$304,"&gt;="&amp;$A8,'Journal Financier'!$A$5:$A$304,"&lt;="&amp;EOMONTH($A8,0),'Journal Financier'!$C$5:$C$304,"Dépense",'Journal Financier'!$D$5:$D$304,"Publicité")</f>
        <v/>
      </c>
      <c r="J8" s="31">
        <f>SUMIFS('Journal Financier'!$F$5:$F$304,'Journal Financier'!$A$5:$A$304,"&gt;="&amp;$A8,'Journal Financier'!$A$5:$A$304,"&lt;="&amp;EOMONTH($A8,0),'Journal Financier'!$C$5:$C$304,"Dépense",'Journal Financier'!$D$5:$D$304,"Autre")</f>
        <v/>
      </c>
      <c r="K8" s="31">
        <f>SUM(E8:J8)</f>
        <v/>
      </c>
      <c r="L8" s="32">
        <f>D8-K8</f>
        <v/>
      </c>
      <c r="M8" s="31">
        <f>D8*$E$3</f>
        <v/>
      </c>
      <c r="N8" s="35">
        <f>L8-M8</f>
        <v/>
      </c>
    </row>
    <row r="9">
      <c r="A9" s="33">
        <f>EOMONTH(TODAY(),ROW()-17)+1</f>
        <v/>
      </c>
      <c r="B9" s="16">
        <f>SUMIFS(Réservations!$I$5:$I$204,Réservations!$G$5:$G$204,"&gt;="&amp;$A9,Réservations!$G$5:$G$204,"&lt;="&amp;EOMONTH($A9,0),Réservations!$Q$5:$Q$204,"&lt;&gt;Annulée")</f>
        <v/>
      </c>
      <c r="C9" s="34">
        <f>IFERROR($B9/(COUNTIFS(Biens!$H$5:$H$14,"Actif")*(EOMONTH($A9,0)-$A9+1)),0)</f>
        <v/>
      </c>
      <c r="D9" s="31">
        <f>SUMIFS('Journal Financier'!$G$5:$G$304,'Journal Financier'!$A$5:$A$304,"&gt;="&amp;$A9,'Journal Financier'!$A$5:$A$304,"&lt;="&amp;EOMONTH($A9,0),'Journal Financier'!$C$5:$C$304,"Recette")</f>
        <v/>
      </c>
      <c r="E9" s="31">
        <f>SUMIFS('Journal Financier'!$F$5:$F$304,'Journal Financier'!$A$5:$A$304,"&gt;="&amp;$A9,'Journal Financier'!$A$5:$A$304,"&lt;="&amp;EOMONTH($A9,0),'Journal Financier'!$C$5:$C$304,"Dépense",'Journal Financier'!$D$5:$D$304,"Maintenance")</f>
        <v/>
      </c>
      <c r="F9" s="31">
        <f>SUMIFS('Journal Financier'!$F$5:$F$304,'Journal Financier'!$A$5:$A$304,"&gt;="&amp;$A9,'Journal Financier'!$A$5:$A$304,"&lt;="&amp;EOMONTH($A9,0),'Journal Financier'!$C$5:$C$304,"Dépense",'Journal Financier'!$D$5:$D$304,"Consommables")</f>
        <v/>
      </c>
      <c r="G9" s="31">
        <f>SUMIFS('Journal Financier'!$F$5:$F$304,'Journal Financier'!$A$5:$A$304,"&gt;="&amp;$A9,'Journal Financier'!$A$5:$A$304,"&lt;="&amp;EOMONTH($A9,0),'Journal Financier'!$C$5:$C$304,"Dépense",'Journal Financier'!$D$5:$D$304,"Électricité")</f>
        <v/>
      </c>
      <c r="H9" s="31">
        <f>SUMIFS('Journal Financier'!$F$5:$F$304,'Journal Financier'!$A$5:$A$304,"&gt;="&amp;$A9,'Journal Financier'!$A$5:$A$304,"&lt;="&amp;EOMONTH($A9,0),'Journal Financier'!$C$5:$C$304,"Dépense",'Journal Financier'!$D$5:$D$304,"Eau")</f>
        <v/>
      </c>
      <c r="I9" s="31">
        <f>SUMIFS('Journal Financier'!$F$5:$F$304,'Journal Financier'!$A$5:$A$304,"&gt;="&amp;$A9,'Journal Financier'!$A$5:$A$304,"&lt;="&amp;EOMONTH($A9,0),'Journal Financier'!$C$5:$C$304,"Dépense",'Journal Financier'!$D$5:$D$304,"Publicité")</f>
        <v/>
      </c>
      <c r="J9" s="31">
        <f>SUMIFS('Journal Financier'!$F$5:$F$304,'Journal Financier'!$A$5:$A$304,"&gt;="&amp;$A9,'Journal Financier'!$A$5:$A$304,"&lt;="&amp;EOMONTH($A9,0),'Journal Financier'!$C$5:$C$304,"Dépense",'Journal Financier'!$D$5:$D$304,"Autre")</f>
        <v/>
      </c>
      <c r="K9" s="31">
        <f>SUM(E9:J9)</f>
        <v/>
      </c>
      <c r="L9" s="32">
        <f>D9-K9</f>
        <v/>
      </c>
      <c r="M9" s="31">
        <f>D9*$E$3</f>
        <v/>
      </c>
      <c r="N9" s="35">
        <f>L9-M9</f>
        <v/>
      </c>
    </row>
    <row r="10">
      <c r="A10" s="33">
        <f>EOMONTH(TODAY(),ROW()-17)+1</f>
        <v/>
      </c>
      <c r="B10" s="16">
        <f>SUMIFS(Réservations!$I$5:$I$204,Réservations!$G$5:$G$204,"&gt;="&amp;$A10,Réservations!$G$5:$G$204,"&lt;="&amp;EOMONTH($A10,0),Réservations!$Q$5:$Q$204,"&lt;&gt;Annulée")</f>
        <v/>
      </c>
      <c r="C10" s="34">
        <f>IFERROR($B10/(COUNTIFS(Biens!$H$5:$H$14,"Actif")*(EOMONTH($A10,0)-$A10+1)),0)</f>
        <v/>
      </c>
      <c r="D10" s="31">
        <f>SUMIFS('Journal Financier'!$G$5:$G$304,'Journal Financier'!$A$5:$A$304,"&gt;="&amp;$A10,'Journal Financier'!$A$5:$A$304,"&lt;="&amp;EOMONTH($A10,0),'Journal Financier'!$C$5:$C$304,"Recette")</f>
        <v/>
      </c>
      <c r="E10" s="31">
        <f>SUMIFS('Journal Financier'!$F$5:$F$304,'Journal Financier'!$A$5:$A$304,"&gt;="&amp;$A10,'Journal Financier'!$A$5:$A$304,"&lt;="&amp;EOMONTH($A10,0),'Journal Financier'!$C$5:$C$304,"Dépense",'Journal Financier'!$D$5:$D$304,"Maintenance")</f>
        <v/>
      </c>
      <c r="F10" s="31">
        <f>SUMIFS('Journal Financier'!$F$5:$F$304,'Journal Financier'!$A$5:$A$304,"&gt;="&amp;$A10,'Journal Financier'!$A$5:$A$304,"&lt;="&amp;EOMONTH($A10,0),'Journal Financier'!$C$5:$C$304,"Dépense",'Journal Financier'!$D$5:$D$304,"Consommables")</f>
        <v/>
      </c>
      <c r="G10" s="31">
        <f>SUMIFS('Journal Financier'!$F$5:$F$304,'Journal Financier'!$A$5:$A$304,"&gt;="&amp;$A10,'Journal Financier'!$A$5:$A$304,"&lt;="&amp;EOMONTH($A10,0),'Journal Financier'!$C$5:$C$304,"Dépense",'Journal Financier'!$D$5:$D$304,"Électricité")</f>
        <v/>
      </c>
      <c r="H10" s="31">
        <f>SUMIFS('Journal Financier'!$F$5:$F$304,'Journal Financier'!$A$5:$A$304,"&gt;="&amp;$A10,'Journal Financier'!$A$5:$A$304,"&lt;="&amp;EOMONTH($A10,0),'Journal Financier'!$C$5:$C$304,"Dépense",'Journal Financier'!$D$5:$D$304,"Eau")</f>
        <v/>
      </c>
      <c r="I10" s="31">
        <f>SUMIFS('Journal Financier'!$F$5:$F$304,'Journal Financier'!$A$5:$A$304,"&gt;="&amp;$A10,'Journal Financier'!$A$5:$A$304,"&lt;="&amp;EOMONTH($A10,0),'Journal Financier'!$C$5:$C$304,"Dépense",'Journal Financier'!$D$5:$D$304,"Publicité")</f>
        <v/>
      </c>
      <c r="J10" s="31">
        <f>SUMIFS('Journal Financier'!$F$5:$F$304,'Journal Financier'!$A$5:$A$304,"&gt;="&amp;$A10,'Journal Financier'!$A$5:$A$304,"&lt;="&amp;EOMONTH($A10,0),'Journal Financier'!$C$5:$C$304,"Dépense",'Journal Financier'!$D$5:$D$304,"Autre")</f>
        <v/>
      </c>
      <c r="K10" s="31">
        <f>SUM(E10:J10)</f>
        <v/>
      </c>
      <c r="L10" s="32">
        <f>D10-K10</f>
        <v/>
      </c>
      <c r="M10" s="31">
        <f>D10*$E$3</f>
        <v/>
      </c>
      <c r="N10" s="35">
        <f>L10-M10</f>
        <v/>
      </c>
    </row>
    <row r="11">
      <c r="A11" s="33">
        <f>EOMONTH(TODAY(),ROW()-17)+1</f>
        <v/>
      </c>
      <c r="B11" s="16">
        <f>SUMIFS(Réservations!$I$5:$I$204,Réservations!$G$5:$G$204,"&gt;="&amp;$A11,Réservations!$G$5:$G$204,"&lt;="&amp;EOMONTH($A11,0),Réservations!$Q$5:$Q$204,"&lt;&gt;Annulée")</f>
        <v/>
      </c>
      <c r="C11" s="34">
        <f>IFERROR($B11/(COUNTIFS(Biens!$H$5:$H$14,"Actif")*(EOMONTH($A11,0)-$A11+1)),0)</f>
        <v/>
      </c>
      <c r="D11" s="31">
        <f>SUMIFS('Journal Financier'!$G$5:$G$304,'Journal Financier'!$A$5:$A$304,"&gt;="&amp;$A11,'Journal Financier'!$A$5:$A$304,"&lt;="&amp;EOMONTH($A11,0),'Journal Financier'!$C$5:$C$304,"Recette")</f>
        <v/>
      </c>
      <c r="E11" s="31">
        <f>SUMIFS('Journal Financier'!$F$5:$F$304,'Journal Financier'!$A$5:$A$304,"&gt;="&amp;$A11,'Journal Financier'!$A$5:$A$304,"&lt;="&amp;EOMONTH($A11,0),'Journal Financier'!$C$5:$C$304,"Dépense",'Journal Financier'!$D$5:$D$304,"Maintenance")</f>
        <v/>
      </c>
      <c r="F11" s="31">
        <f>SUMIFS('Journal Financier'!$F$5:$F$304,'Journal Financier'!$A$5:$A$304,"&gt;="&amp;$A11,'Journal Financier'!$A$5:$A$304,"&lt;="&amp;EOMONTH($A11,0),'Journal Financier'!$C$5:$C$304,"Dépense",'Journal Financier'!$D$5:$D$304,"Consommables")</f>
        <v/>
      </c>
      <c r="G11" s="31">
        <f>SUMIFS('Journal Financier'!$F$5:$F$304,'Journal Financier'!$A$5:$A$304,"&gt;="&amp;$A11,'Journal Financier'!$A$5:$A$304,"&lt;="&amp;EOMONTH($A11,0),'Journal Financier'!$C$5:$C$304,"Dépense",'Journal Financier'!$D$5:$D$304,"Électricité")</f>
        <v/>
      </c>
      <c r="H11" s="31">
        <f>SUMIFS('Journal Financier'!$F$5:$F$304,'Journal Financier'!$A$5:$A$304,"&gt;="&amp;$A11,'Journal Financier'!$A$5:$A$304,"&lt;="&amp;EOMONTH($A11,0),'Journal Financier'!$C$5:$C$304,"Dépense",'Journal Financier'!$D$5:$D$304,"Eau")</f>
        <v/>
      </c>
      <c r="I11" s="31">
        <f>SUMIFS('Journal Financier'!$F$5:$F$304,'Journal Financier'!$A$5:$A$304,"&gt;="&amp;$A11,'Journal Financier'!$A$5:$A$304,"&lt;="&amp;EOMONTH($A11,0),'Journal Financier'!$C$5:$C$304,"Dépense",'Journal Financier'!$D$5:$D$304,"Publicité")</f>
        <v/>
      </c>
      <c r="J11" s="31">
        <f>SUMIFS('Journal Financier'!$F$5:$F$304,'Journal Financier'!$A$5:$A$304,"&gt;="&amp;$A11,'Journal Financier'!$A$5:$A$304,"&lt;="&amp;EOMONTH($A11,0),'Journal Financier'!$C$5:$C$304,"Dépense",'Journal Financier'!$D$5:$D$304,"Autre")</f>
        <v/>
      </c>
      <c r="K11" s="31">
        <f>SUM(E11:J11)</f>
        <v/>
      </c>
      <c r="L11" s="32">
        <f>D11-K11</f>
        <v/>
      </c>
      <c r="M11" s="31">
        <f>D11*$E$3</f>
        <v/>
      </c>
      <c r="N11" s="35">
        <f>L11-M11</f>
        <v/>
      </c>
    </row>
    <row r="12">
      <c r="A12" s="33">
        <f>EOMONTH(TODAY(),ROW()-17)+1</f>
        <v/>
      </c>
      <c r="B12" s="16">
        <f>SUMIFS(Réservations!$I$5:$I$204,Réservations!$G$5:$G$204,"&gt;="&amp;$A12,Réservations!$G$5:$G$204,"&lt;="&amp;EOMONTH($A12,0),Réservations!$Q$5:$Q$204,"&lt;&gt;Annulée")</f>
        <v/>
      </c>
      <c r="C12" s="34">
        <f>IFERROR($B12/(COUNTIFS(Biens!$H$5:$H$14,"Actif")*(EOMONTH($A12,0)-$A12+1)),0)</f>
        <v/>
      </c>
      <c r="D12" s="31">
        <f>SUMIFS('Journal Financier'!$G$5:$G$304,'Journal Financier'!$A$5:$A$304,"&gt;="&amp;$A12,'Journal Financier'!$A$5:$A$304,"&lt;="&amp;EOMONTH($A12,0),'Journal Financier'!$C$5:$C$304,"Recette")</f>
        <v/>
      </c>
      <c r="E12" s="31">
        <f>SUMIFS('Journal Financier'!$F$5:$F$304,'Journal Financier'!$A$5:$A$304,"&gt;="&amp;$A12,'Journal Financier'!$A$5:$A$304,"&lt;="&amp;EOMONTH($A12,0),'Journal Financier'!$C$5:$C$304,"Dépense",'Journal Financier'!$D$5:$D$304,"Maintenance")</f>
        <v/>
      </c>
      <c r="F12" s="31">
        <f>SUMIFS('Journal Financier'!$F$5:$F$304,'Journal Financier'!$A$5:$A$304,"&gt;="&amp;$A12,'Journal Financier'!$A$5:$A$304,"&lt;="&amp;EOMONTH($A12,0),'Journal Financier'!$C$5:$C$304,"Dépense",'Journal Financier'!$D$5:$D$304,"Consommables")</f>
        <v/>
      </c>
      <c r="G12" s="31">
        <f>SUMIFS('Journal Financier'!$F$5:$F$304,'Journal Financier'!$A$5:$A$304,"&gt;="&amp;$A12,'Journal Financier'!$A$5:$A$304,"&lt;="&amp;EOMONTH($A12,0),'Journal Financier'!$C$5:$C$304,"Dépense",'Journal Financier'!$D$5:$D$304,"Électricité")</f>
        <v/>
      </c>
      <c r="H12" s="31">
        <f>SUMIFS('Journal Financier'!$F$5:$F$304,'Journal Financier'!$A$5:$A$304,"&gt;="&amp;$A12,'Journal Financier'!$A$5:$A$304,"&lt;="&amp;EOMONTH($A12,0),'Journal Financier'!$C$5:$C$304,"Dépense",'Journal Financier'!$D$5:$D$304,"Eau")</f>
        <v/>
      </c>
      <c r="I12" s="31">
        <f>SUMIFS('Journal Financier'!$F$5:$F$304,'Journal Financier'!$A$5:$A$304,"&gt;="&amp;$A12,'Journal Financier'!$A$5:$A$304,"&lt;="&amp;EOMONTH($A12,0),'Journal Financier'!$C$5:$C$304,"Dépense",'Journal Financier'!$D$5:$D$304,"Publicité")</f>
        <v/>
      </c>
      <c r="J12" s="31">
        <f>SUMIFS('Journal Financier'!$F$5:$F$304,'Journal Financier'!$A$5:$A$304,"&gt;="&amp;$A12,'Journal Financier'!$A$5:$A$304,"&lt;="&amp;EOMONTH($A12,0),'Journal Financier'!$C$5:$C$304,"Dépense",'Journal Financier'!$D$5:$D$304,"Autre")</f>
        <v/>
      </c>
      <c r="K12" s="31">
        <f>SUM(E12:J12)</f>
        <v/>
      </c>
      <c r="L12" s="32">
        <f>D12-K12</f>
        <v/>
      </c>
      <c r="M12" s="31">
        <f>D12*$E$3</f>
        <v/>
      </c>
      <c r="N12" s="35">
        <f>L12-M12</f>
        <v/>
      </c>
    </row>
    <row r="13">
      <c r="A13" s="33">
        <f>EOMONTH(TODAY(),ROW()-17)+1</f>
        <v/>
      </c>
      <c r="B13" s="16">
        <f>SUMIFS(Réservations!$I$5:$I$204,Réservations!$G$5:$G$204,"&gt;="&amp;$A13,Réservations!$G$5:$G$204,"&lt;="&amp;EOMONTH($A13,0),Réservations!$Q$5:$Q$204,"&lt;&gt;Annulée")</f>
        <v/>
      </c>
      <c r="C13" s="34">
        <f>IFERROR($B13/(COUNTIFS(Biens!$H$5:$H$14,"Actif")*(EOMONTH($A13,0)-$A13+1)),0)</f>
        <v/>
      </c>
      <c r="D13" s="31">
        <f>SUMIFS('Journal Financier'!$G$5:$G$304,'Journal Financier'!$A$5:$A$304,"&gt;="&amp;$A13,'Journal Financier'!$A$5:$A$304,"&lt;="&amp;EOMONTH($A13,0),'Journal Financier'!$C$5:$C$304,"Recette")</f>
        <v/>
      </c>
      <c r="E13" s="31">
        <f>SUMIFS('Journal Financier'!$F$5:$F$304,'Journal Financier'!$A$5:$A$304,"&gt;="&amp;$A13,'Journal Financier'!$A$5:$A$304,"&lt;="&amp;EOMONTH($A13,0),'Journal Financier'!$C$5:$C$304,"Dépense",'Journal Financier'!$D$5:$D$304,"Maintenance")</f>
        <v/>
      </c>
      <c r="F13" s="31">
        <f>SUMIFS('Journal Financier'!$F$5:$F$304,'Journal Financier'!$A$5:$A$304,"&gt;="&amp;$A13,'Journal Financier'!$A$5:$A$304,"&lt;="&amp;EOMONTH($A13,0),'Journal Financier'!$C$5:$C$304,"Dépense",'Journal Financier'!$D$5:$D$304,"Consommables")</f>
        <v/>
      </c>
      <c r="G13" s="31">
        <f>SUMIFS('Journal Financier'!$F$5:$F$304,'Journal Financier'!$A$5:$A$304,"&gt;="&amp;$A13,'Journal Financier'!$A$5:$A$304,"&lt;="&amp;EOMONTH($A13,0),'Journal Financier'!$C$5:$C$304,"Dépense",'Journal Financier'!$D$5:$D$304,"Électricité")</f>
        <v/>
      </c>
      <c r="H13" s="31">
        <f>SUMIFS('Journal Financier'!$F$5:$F$304,'Journal Financier'!$A$5:$A$304,"&gt;="&amp;$A13,'Journal Financier'!$A$5:$A$304,"&lt;="&amp;EOMONTH($A13,0),'Journal Financier'!$C$5:$C$304,"Dépense",'Journal Financier'!$D$5:$D$304,"Eau")</f>
        <v/>
      </c>
      <c r="I13" s="31">
        <f>SUMIFS('Journal Financier'!$F$5:$F$304,'Journal Financier'!$A$5:$A$304,"&gt;="&amp;$A13,'Journal Financier'!$A$5:$A$304,"&lt;="&amp;EOMONTH($A13,0),'Journal Financier'!$C$5:$C$304,"Dépense",'Journal Financier'!$D$5:$D$304,"Publicité")</f>
        <v/>
      </c>
      <c r="J13" s="31">
        <f>SUMIFS('Journal Financier'!$F$5:$F$304,'Journal Financier'!$A$5:$A$304,"&gt;="&amp;$A13,'Journal Financier'!$A$5:$A$304,"&lt;="&amp;EOMONTH($A13,0),'Journal Financier'!$C$5:$C$304,"Dépense",'Journal Financier'!$D$5:$D$304,"Autre")</f>
        <v/>
      </c>
      <c r="K13" s="31">
        <f>SUM(E13:J13)</f>
        <v/>
      </c>
      <c r="L13" s="32">
        <f>D13-K13</f>
        <v/>
      </c>
      <c r="M13" s="31">
        <f>D13*$E$3</f>
        <v/>
      </c>
      <c r="N13" s="35">
        <f>L13-M13</f>
        <v/>
      </c>
    </row>
    <row r="14">
      <c r="A14" s="33">
        <f>EOMONTH(TODAY(),ROW()-17)+1</f>
        <v/>
      </c>
      <c r="B14" s="16">
        <f>SUMIFS(Réservations!$I$5:$I$204,Réservations!$G$5:$G$204,"&gt;="&amp;$A14,Réservations!$G$5:$G$204,"&lt;="&amp;EOMONTH($A14,0),Réservations!$Q$5:$Q$204,"&lt;&gt;Annulée")</f>
        <v/>
      </c>
      <c r="C14" s="34">
        <f>IFERROR($B14/(COUNTIFS(Biens!$H$5:$H$14,"Actif")*(EOMONTH($A14,0)-$A14+1)),0)</f>
        <v/>
      </c>
      <c r="D14" s="31">
        <f>SUMIFS('Journal Financier'!$G$5:$G$304,'Journal Financier'!$A$5:$A$304,"&gt;="&amp;$A14,'Journal Financier'!$A$5:$A$304,"&lt;="&amp;EOMONTH($A14,0),'Journal Financier'!$C$5:$C$304,"Recette")</f>
        <v/>
      </c>
      <c r="E14" s="31">
        <f>SUMIFS('Journal Financier'!$F$5:$F$304,'Journal Financier'!$A$5:$A$304,"&gt;="&amp;$A14,'Journal Financier'!$A$5:$A$304,"&lt;="&amp;EOMONTH($A14,0),'Journal Financier'!$C$5:$C$304,"Dépense",'Journal Financier'!$D$5:$D$304,"Maintenance")</f>
        <v/>
      </c>
      <c r="F14" s="31">
        <f>SUMIFS('Journal Financier'!$F$5:$F$304,'Journal Financier'!$A$5:$A$304,"&gt;="&amp;$A14,'Journal Financier'!$A$5:$A$304,"&lt;="&amp;EOMONTH($A14,0),'Journal Financier'!$C$5:$C$304,"Dépense",'Journal Financier'!$D$5:$D$304,"Consommables")</f>
        <v/>
      </c>
      <c r="G14" s="31">
        <f>SUMIFS('Journal Financier'!$F$5:$F$304,'Journal Financier'!$A$5:$A$304,"&gt;="&amp;$A14,'Journal Financier'!$A$5:$A$304,"&lt;="&amp;EOMONTH($A14,0),'Journal Financier'!$C$5:$C$304,"Dépense",'Journal Financier'!$D$5:$D$304,"Électricité")</f>
        <v/>
      </c>
      <c r="H14" s="31">
        <f>SUMIFS('Journal Financier'!$F$5:$F$304,'Journal Financier'!$A$5:$A$304,"&gt;="&amp;$A14,'Journal Financier'!$A$5:$A$304,"&lt;="&amp;EOMONTH($A14,0),'Journal Financier'!$C$5:$C$304,"Dépense",'Journal Financier'!$D$5:$D$304,"Eau")</f>
        <v/>
      </c>
      <c r="I14" s="31">
        <f>SUMIFS('Journal Financier'!$F$5:$F$304,'Journal Financier'!$A$5:$A$304,"&gt;="&amp;$A14,'Journal Financier'!$A$5:$A$304,"&lt;="&amp;EOMONTH($A14,0),'Journal Financier'!$C$5:$C$304,"Dépense",'Journal Financier'!$D$5:$D$304,"Publicité")</f>
        <v/>
      </c>
      <c r="J14" s="31">
        <f>SUMIFS('Journal Financier'!$F$5:$F$304,'Journal Financier'!$A$5:$A$304,"&gt;="&amp;$A14,'Journal Financier'!$A$5:$A$304,"&lt;="&amp;EOMONTH($A14,0),'Journal Financier'!$C$5:$C$304,"Dépense",'Journal Financier'!$D$5:$D$304,"Autre")</f>
        <v/>
      </c>
      <c r="K14" s="31">
        <f>SUM(E14:J14)</f>
        <v/>
      </c>
      <c r="L14" s="32">
        <f>D14-K14</f>
        <v/>
      </c>
      <c r="M14" s="31">
        <f>D14*$E$3</f>
        <v/>
      </c>
      <c r="N14" s="35">
        <f>L14-M14</f>
        <v/>
      </c>
    </row>
    <row r="15">
      <c r="A15" s="33">
        <f>EOMONTH(TODAY(),ROW()-17)+1</f>
        <v/>
      </c>
      <c r="B15" s="16">
        <f>SUMIFS(Réservations!$I$5:$I$204,Réservations!$G$5:$G$204,"&gt;="&amp;$A15,Réservations!$G$5:$G$204,"&lt;="&amp;EOMONTH($A15,0),Réservations!$Q$5:$Q$204,"&lt;&gt;Annulée")</f>
        <v/>
      </c>
      <c r="C15" s="34">
        <f>IFERROR($B15/(COUNTIFS(Biens!$H$5:$H$14,"Actif")*(EOMONTH($A15,0)-$A15+1)),0)</f>
        <v/>
      </c>
      <c r="D15" s="31">
        <f>SUMIFS('Journal Financier'!$G$5:$G$304,'Journal Financier'!$A$5:$A$304,"&gt;="&amp;$A15,'Journal Financier'!$A$5:$A$304,"&lt;="&amp;EOMONTH($A15,0),'Journal Financier'!$C$5:$C$304,"Recette")</f>
        <v/>
      </c>
      <c r="E15" s="31">
        <f>SUMIFS('Journal Financier'!$F$5:$F$304,'Journal Financier'!$A$5:$A$304,"&gt;="&amp;$A15,'Journal Financier'!$A$5:$A$304,"&lt;="&amp;EOMONTH($A15,0),'Journal Financier'!$C$5:$C$304,"Dépense",'Journal Financier'!$D$5:$D$304,"Maintenance")</f>
        <v/>
      </c>
      <c r="F15" s="31">
        <f>SUMIFS('Journal Financier'!$F$5:$F$304,'Journal Financier'!$A$5:$A$304,"&gt;="&amp;$A15,'Journal Financier'!$A$5:$A$304,"&lt;="&amp;EOMONTH($A15,0),'Journal Financier'!$C$5:$C$304,"Dépense",'Journal Financier'!$D$5:$D$304,"Consommables")</f>
        <v/>
      </c>
      <c r="G15" s="31">
        <f>SUMIFS('Journal Financier'!$F$5:$F$304,'Journal Financier'!$A$5:$A$304,"&gt;="&amp;$A15,'Journal Financier'!$A$5:$A$304,"&lt;="&amp;EOMONTH($A15,0),'Journal Financier'!$C$5:$C$304,"Dépense",'Journal Financier'!$D$5:$D$304,"Électricité")</f>
        <v/>
      </c>
      <c r="H15" s="31">
        <f>SUMIFS('Journal Financier'!$F$5:$F$304,'Journal Financier'!$A$5:$A$304,"&gt;="&amp;$A15,'Journal Financier'!$A$5:$A$304,"&lt;="&amp;EOMONTH($A15,0),'Journal Financier'!$C$5:$C$304,"Dépense",'Journal Financier'!$D$5:$D$304,"Eau")</f>
        <v/>
      </c>
      <c r="I15" s="31">
        <f>SUMIFS('Journal Financier'!$F$5:$F$304,'Journal Financier'!$A$5:$A$304,"&gt;="&amp;$A15,'Journal Financier'!$A$5:$A$304,"&lt;="&amp;EOMONTH($A15,0),'Journal Financier'!$C$5:$C$304,"Dépense",'Journal Financier'!$D$5:$D$304,"Publicité")</f>
        <v/>
      </c>
      <c r="J15" s="31">
        <f>SUMIFS('Journal Financier'!$F$5:$F$304,'Journal Financier'!$A$5:$A$304,"&gt;="&amp;$A15,'Journal Financier'!$A$5:$A$304,"&lt;="&amp;EOMONTH($A15,0),'Journal Financier'!$C$5:$C$304,"Dépense",'Journal Financier'!$D$5:$D$304,"Autre")</f>
        <v/>
      </c>
      <c r="K15" s="31">
        <f>SUM(E15:J15)</f>
        <v/>
      </c>
      <c r="L15" s="32">
        <f>D15-K15</f>
        <v/>
      </c>
      <c r="M15" s="31">
        <f>D15*$E$3</f>
        <v/>
      </c>
      <c r="N15" s="35">
        <f>L15-M15</f>
        <v/>
      </c>
    </row>
    <row r="16">
      <c r="A16" s="33">
        <f>EOMONTH(TODAY(),ROW()-17)+1</f>
        <v/>
      </c>
      <c r="B16" s="16">
        <f>SUMIFS(Réservations!$I$5:$I$204,Réservations!$G$5:$G$204,"&gt;="&amp;$A16,Réservations!$G$5:$G$204,"&lt;="&amp;EOMONTH($A16,0),Réservations!$Q$5:$Q$204,"&lt;&gt;Annulée")</f>
        <v/>
      </c>
      <c r="C16" s="34">
        <f>IFERROR($B16/(COUNTIFS(Biens!$H$5:$H$14,"Actif")*(EOMONTH($A16,0)-$A16+1)),0)</f>
        <v/>
      </c>
      <c r="D16" s="31">
        <f>SUMIFS('Journal Financier'!$G$5:$G$304,'Journal Financier'!$A$5:$A$304,"&gt;="&amp;$A16,'Journal Financier'!$A$5:$A$304,"&lt;="&amp;EOMONTH($A16,0),'Journal Financier'!$C$5:$C$304,"Recette")</f>
        <v/>
      </c>
      <c r="E16" s="31">
        <f>SUMIFS('Journal Financier'!$F$5:$F$304,'Journal Financier'!$A$5:$A$304,"&gt;="&amp;$A16,'Journal Financier'!$A$5:$A$304,"&lt;="&amp;EOMONTH($A16,0),'Journal Financier'!$C$5:$C$304,"Dépense",'Journal Financier'!$D$5:$D$304,"Maintenance")</f>
        <v/>
      </c>
      <c r="F16" s="31">
        <f>SUMIFS('Journal Financier'!$F$5:$F$304,'Journal Financier'!$A$5:$A$304,"&gt;="&amp;$A16,'Journal Financier'!$A$5:$A$304,"&lt;="&amp;EOMONTH($A16,0),'Journal Financier'!$C$5:$C$304,"Dépense",'Journal Financier'!$D$5:$D$304,"Consommables")</f>
        <v/>
      </c>
      <c r="G16" s="31">
        <f>SUMIFS('Journal Financier'!$F$5:$F$304,'Journal Financier'!$A$5:$A$304,"&gt;="&amp;$A16,'Journal Financier'!$A$5:$A$304,"&lt;="&amp;EOMONTH($A16,0),'Journal Financier'!$C$5:$C$304,"Dépense",'Journal Financier'!$D$5:$D$304,"Électricité")</f>
        <v/>
      </c>
      <c r="H16" s="31">
        <f>SUMIFS('Journal Financier'!$F$5:$F$304,'Journal Financier'!$A$5:$A$304,"&gt;="&amp;$A16,'Journal Financier'!$A$5:$A$304,"&lt;="&amp;EOMONTH($A16,0),'Journal Financier'!$C$5:$C$304,"Dépense",'Journal Financier'!$D$5:$D$304,"Eau")</f>
        <v/>
      </c>
      <c r="I16" s="31">
        <f>SUMIFS('Journal Financier'!$F$5:$F$304,'Journal Financier'!$A$5:$A$304,"&gt;="&amp;$A16,'Journal Financier'!$A$5:$A$304,"&lt;="&amp;EOMONTH($A16,0),'Journal Financier'!$C$5:$C$304,"Dépense",'Journal Financier'!$D$5:$D$304,"Publicité")</f>
        <v/>
      </c>
      <c r="J16" s="31">
        <f>SUMIFS('Journal Financier'!$F$5:$F$304,'Journal Financier'!$A$5:$A$304,"&gt;="&amp;$A16,'Journal Financier'!$A$5:$A$304,"&lt;="&amp;EOMONTH($A16,0),'Journal Financier'!$C$5:$C$304,"Dépense",'Journal Financier'!$D$5:$D$304,"Autre")</f>
        <v/>
      </c>
      <c r="K16" s="31">
        <f>SUM(E16:J16)</f>
        <v/>
      </c>
      <c r="L16" s="32">
        <f>D16-K16</f>
        <v/>
      </c>
      <c r="M16" s="31">
        <f>D16*$E$3</f>
        <v/>
      </c>
      <c r="N16" s="35">
        <f>L16-M16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C7B6"/>
  <mergeCells count="4">
    <mergeCell ref="A1:B2"/>
    <mergeCell ref="A3:D3"/>
    <mergeCell ref="C2:N2"/>
    <mergeCell ref="C1:N1"/>
  </mergeCells>
  <conditionalFormatting sqref="C5:C16">
    <cfRule type="cellIs" priority="1" operator="lessThan" dxfId="7">
      <formula>0.3</formula>
    </cfRule>
  </conditionalFormatting>
  <conditionalFormatting sqref="L5:L16">
    <cfRule type="cellIs" priority="2" operator="lessThan" dxfId="9">
      <formula>0</formula>
    </cfRule>
  </conditionalFormatting>
  <pageMargins left="0.75" right="0.75" top="1" bottom="1" header="0.5" footer="0.5"/>
  <pageSetup orientation="landscape" fitToHeight="1" fitToWidth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D4AF37"/>
    <outlinePr summaryBelow="1" summaryRight="1"/>
    <pageSetUpPr/>
  </sheetPr>
  <dimension ref="A1:K154"/>
  <sheetViews>
    <sheetView showGridLines="0" tabSelected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12" customWidth="1" min="4" max="4"/>
    <col width="16" customWidth="1" min="5" max="5"/>
    <col width="11" customWidth="1" min="6" max="6"/>
    <col width="12" customWidth="1" min="7" max="7"/>
    <col width="26" customWidth="1" min="8" max="8"/>
    <col width="22" customWidth="1" min="9" max="9"/>
    <col width="20" customWidth="1" min="10" max="10"/>
    <col width="18" customWidth="1" min="11" max="11"/>
  </cols>
  <sheetData>
    <row r="1" ht="30" customHeight="1">
      <c r="A1" s="1" t="inlineStr">
        <is>
          <t>MG
HÔTE</t>
        </is>
      </c>
      <c r="C1" s="2" t="inlineStr">
        <is>
          <t>SUIVI MÉNAGE</t>
        </is>
      </c>
    </row>
    <row r="2" ht="20" customHeight="1">
      <c r="C2" s="3" t="inlineStr">
        <is>
          <t>Statut, prestataire et compte rendu par passage</t>
        </is>
      </c>
    </row>
    <row r="3" ht="6" customHeight="1"/>
    <row r="4" ht="32" customHeight="1">
      <c r="A4" s="9" t="inlineStr">
        <is>
          <t>Date</t>
        </is>
      </c>
      <c r="B4" s="9" t="inlineStr">
        <is>
          <t>Bien</t>
        </is>
      </c>
      <c r="C4" s="9" t="inlineStr">
        <is>
          <t>Réservation liée</t>
        </is>
      </c>
      <c r="D4" s="9" t="inlineStr">
        <is>
          <t>Statut</t>
        </is>
      </c>
      <c r="E4" s="9" t="inlineStr">
        <is>
          <t>Prestataire</t>
        </is>
      </c>
      <c r="F4" s="9" t="inlineStr">
        <is>
          <t>Heure prévue</t>
        </is>
      </c>
      <c r="G4" s="9" t="inlineStr">
        <is>
          <t>Heure réalisée</t>
        </is>
      </c>
      <c r="H4" s="9" t="inlineStr">
        <is>
          <t>Compte rendu ménage</t>
        </is>
      </c>
      <c r="I4" s="9" t="inlineStr">
        <is>
          <t>Anomalies / dégâts constatés</t>
        </is>
      </c>
      <c r="J4" s="9" t="inlineStr">
        <is>
          <t>Consommables à racheter</t>
        </is>
      </c>
      <c r="K4" s="9" t="inlineStr">
        <is>
          <t>Notes</t>
        </is>
      </c>
    </row>
    <row r="5">
      <c r="A5" s="27" t="n"/>
      <c r="B5" s="25" t="n"/>
      <c r="C5" s="25" t="n"/>
      <c r="D5" s="25" t="n"/>
      <c r="E5" s="25" t="n"/>
      <c r="F5" s="36" t="n"/>
      <c r="G5" s="36" t="n"/>
      <c r="H5" s="26" t="n"/>
      <c r="I5" s="26" t="n"/>
      <c r="J5" s="26" t="n"/>
      <c r="K5" s="26" t="n"/>
    </row>
    <row r="6">
      <c r="A6" s="27" t="n"/>
      <c r="B6" s="25" t="n"/>
      <c r="C6" s="25" t="n"/>
      <c r="D6" s="25" t="n"/>
      <c r="E6" s="25" t="n"/>
      <c r="F6" s="36" t="n"/>
      <c r="G6" s="36" t="n"/>
      <c r="H6" s="26" t="n"/>
      <c r="I6" s="26" t="n"/>
      <c r="J6" s="26" t="n"/>
      <c r="K6" s="26" t="n"/>
    </row>
    <row r="7">
      <c r="A7" s="27" t="n"/>
      <c r="B7" s="25" t="n"/>
      <c r="C7" s="25" t="n"/>
      <c r="D7" s="25" t="n"/>
      <c r="E7" s="25" t="n"/>
      <c r="F7" s="36" t="n"/>
      <c r="G7" s="36" t="n"/>
      <c r="H7" s="26" t="n"/>
      <c r="I7" s="26" t="n"/>
      <c r="J7" s="26" t="n"/>
      <c r="K7" s="26" t="n"/>
    </row>
    <row r="8">
      <c r="A8" s="27" t="n"/>
      <c r="B8" s="25" t="n"/>
      <c r="C8" s="25" t="n"/>
      <c r="D8" s="25" t="n"/>
      <c r="E8" s="25" t="n"/>
      <c r="F8" s="36" t="n"/>
      <c r="G8" s="36" t="n"/>
      <c r="H8" s="26" t="n"/>
      <c r="I8" s="26" t="n"/>
      <c r="J8" s="26" t="n"/>
      <c r="K8" s="26" t="n"/>
    </row>
    <row r="9">
      <c r="A9" s="27" t="n"/>
      <c r="B9" s="25" t="n"/>
      <c r="C9" s="25" t="n"/>
      <c r="D9" s="25" t="n"/>
      <c r="E9" s="25" t="n"/>
      <c r="F9" s="36" t="n"/>
      <c r="G9" s="36" t="n"/>
      <c r="H9" s="26" t="n"/>
      <c r="I9" s="26" t="n"/>
      <c r="J9" s="26" t="n"/>
      <c r="K9" s="26" t="n"/>
    </row>
    <row r="10">
      <c r="A10" s="27" t="n"/>
      <c r="B10" s="25" t="n"/>
      <c r="C10" s="25" t="n"/>
      <c r="D10" s="25" t="n"/>
      <c r="E10" s="25" t="n"/>
      <c r="F10" s="36" t="n"/>
      <c r="G10" s="36" t="n"/>
      <c r="H10" s="26" t="n"/>
      <c r="I10" s="26" t="n"/>
      <c r="J10" s="26" t="n"/>
      <c r="K10" s="26" t="n"/>
    </row>
    <row r="11">
      <c r="A11" s="27" t="n"/>
      <c r="B11" s="25" t="n"/>
      <c r="C11" s="25" t="n"/>
      <c r="D11" s="25" t="n"/>
      <c r="E11" s="25" t="n"/>
      <c r="F11" s="36" t="n"/>
      <c r="G11" s="36" t="n"/>
      <c r="H11" s="26" t="n"/>
      <c r="I11" s="26" t="n"/>
      <c r="J11" s="26" t="n"/>
      <c r="K11" s="26" t="n"/>
    </row>
    <row r="12">
      <c r="A12" s="27" t="n"/>
      <c r="B12" s="25" t="n"/>
      <c r="C12" s="25" t="n"/>
      <c r="D12" s="25" t="n"/>
      <c r="E12" s="25" t="n"/>
      <c r="F12" s="36" t="n"/>
      <c r="G12" s="36" t="n"/>
      <c r="H12" s="26" t="n"/>
      <c r="I12" s="26" t="n"/>
      <c r="J12" s="26" t="n"/>
      <c r="K12" s="26" t="n"/>
    </row>
    <row r="13">
      <c r="A13" s="27" t="n"/>
      <c r="B13" s="25" t="n"/>
      <c r="C13" s="25" t="n"/>
      <c r="D13" s="25" t="n"/>
      <c r="E13" s="25" t="n"/>
      <c r="F13" s="36" t="n"/>
      <c r="G13" s="36" t="n"/>
      <c r="H13" s="26" t="n"/>
      <c r="I13" s="26" t="n"/>
      <c r="J13" s="26" t="n"/>
      <c r="K13" s="26" t="n"/>
    </row>
    <row r="14">
      <c r="A14" s="27" t="n"/>
      <c r="B14" s="25" t="n"/>
      <c r="C14" s="25" t="n"/>
      <c r="D14" s="25" t="n"/>
      <c r="E14" s="25" t="n"/>
      <c r="F14" s="36" t="n"/>
      <c r="G14" s="36" t="n"/>
      <c r="H14" s="26" t="n"/>
      <c r="I14" s="26" t="n"/>
      <c r="J14" s="26" t="n"/>
      <c r="K14" s="26" t="n"/>
    </row>
    <row r="15">
      <c r="A15" s="27" t="n"/>
      <c r="B15" s="25" t="n"/>
      <c r="C15" s="25" t="n"/>
      <c r="D15" s="25" t="n"/>
      <c r="E15" s="25" t="n"/>
      <c r="F15" s="36" t="n"/>
      <c r="G15" s="36" t="n"/>
      <c r="H15" s="26" t="n"/>
      <c r="I15" s="26" t="n"/>
      <c r="J15" s="26" t="n"/>
      <c r="K15" s="26" t="n"/>
    </row>
    <row r="16">
      <c r="A16" s="27" t="n"/>
      <c r="B16" s="25" t="n"/>
      <c r="C16" s="25" t="n"/>
      <c r="D16" s="25" t="n"/>
      <c r="E16" s="25" t="n"/>
      <c r="F16" s="36" t="n"/>
      <c r="G16" s="36" t="n"/>
      <c r="H16" s="26" t="n"/>
      <c r="I16" s="26" t="n"/>
      <c r="J16" s="26" t="n"/>
      <c r="K16" s="26" t="n"/>
    </row>
    <row r="17">
      <c r="A17" s="27" t="n"/>
      <c r="B17" s="25" t="n"/>
      <c r="C17" s="25" t="n"/>
      <c r="D17" s="25" t="n"/>
      <c r="E17" s="25" t="n"/>
      <c r="F17" s="36" t="n"/>
      <c r="G17" s="36" t="n"/>
      <c r="H17" s="26" t="n"/>
      <c r="I17" s="26" t="n"/>
      <c r="J17" s="26" t="n"/>
      <c r="K17" s="26" t="n"/>
    </row>
    <row r="18">
      <c r="A18" s="27" t="n"/>
      <c r="B18" s="25" t="n"/>
      <c r="C18" s="25" t="n"/>
      <c r="D18" s="25" t="n"/>
      <c r="E18" s="25" t="n"/>
      <c r="F18" s="36" t="n"/>
      <c r="G18" s="36" t="n"/>
      <c r="H18" s="26" t="n"/>
      <c r="I18" s="26" t="n"/>
      <c r="J18" s="26" t="n"/>
      <c r="K18" s="26" t="n"/>
    </row>
    <row r="19">
      <c r="A19" s="27" t="n"/>
      <c r="B19" s="25" t="n"/>
      <c r="C19" s="25" t="n"/>
      <c r="D19" s="25" t="n"/>
      <c r="E19" s="25" t="n"/>
      <c r="F19" s="36" t="n"/>
      <c r="G19" s="36" t="n"/>
      <c r="H19" s="26" t="n"/>
      <c r="I19" s="26" t="n"/>
      <c r="J19" s="26" t="n"/>
      <c r="K19" s="26" t="n"/>
    </row>
    <row r="20">
      <c r="A20" s="27" t="n"/>
      <c r="B20" s="25" t="n"/>
      <c r="C20" s="25" t="n"/>
      <c r="D20" s="25" t="n"/>
      <c r="E20" s="25" t="n"/>
      <c r="F20" s="36" t="n"/>
      <c r="G20" s="36" t="n"/>
      <c r="H20" s="26" t="n"/>
      <c r="I20" s="26" t="n"/>
      <c r="J20" s="26" t="n"/>
      <c r="K20" s="26" t="n"/>
    </row>
    <row r="21">
      <c r="A21" s="27" t="n"/>
      <c r="B21" s="25" t="n"/>
      <c r="C21" s="25" t="n"/>
      <c r="D21" s="25" t="n"/>
      <c r="E21" s="25" t="n"/>
      <c r="F21" s="36" t="n"/>
      <c r="G21" s="36" t="n"/>
      <c r="H21" s="26" t="n"/>
      <c r="I21" s="26" t="n"/>
      <c r="J21" s="26" t="n"/>
      <c r="K21" s="26" t="n"/>
    </row>
    <row r="22">
      <c r="A22" s="27" t="n"/>
      <c r="B22" s="25" t="n"/>
      <c r="C22" s="25" t="n"/>
      <c r="D22" s="25" t="n"/>
      <c r="E22" s="25" t="n"/>
      <c r="F22" s="36" t="n"/>
      <c r="G22" s="36" t="n"/>
      <c r="H22" s="26" t="n"/>
      <c r="I22" s="26" t="n"/>
      <c r="J22" s="26" t="n"/>
      <c r="K22" s="26" t="n"/>
    </row>
    <row r="23">
      <c r="A23" s="27" t="n"/>
      <c r="B23" s="25" t="n"/>
      <c r="C23" s="25" t="n"/>
      <c r="D23" s="25" t="n"/>
      <c r="E23" s="25" t="n"/>
      <c r="F23" s="36" t="n"/>
      <c r="G23" s="36" t="n"/>
      <c r="H23" s="26" t="n"/>
      <c r="I23" s="26" t="n"/>
      <c r="J23" s="26" t="n"/>
      <c r="K23" s="26" t="n"/>
    </row>
    <row r="24">
      <c r="A24" s="27" t="n"/>
      <c r="B24" s="25" t="n"/>
      <c r="C24" s="25" t="n"/>
      <c r="D24" s="25" t="n"/>
      <c r="E24" s="25" t="n"/>
      <c r="F24" s="36" t="n"/>
      <c r="G24" s="36" t="n"/>
      <c r="H24" s="26" t="n"/>
      <c r="I24" s="26" t="n"/>
      <c r="J24" s="26" t="n"/>
      <c r="K24" s="26" t="n"/>
    </row>
    <row r="25">
      <c r="A25" s="27" t="n"/>
      <c r="B25" s="25" t="n"/>
      <c r="C25" s="25" t="n"/>
      <c r="D25" s="25" t="n"/>
      <c r="E25" s="25" t="n"/>
      <c r="F25" s="36" t="n"/>
      <c r="G25" s="36" t="n"/>
      <c r="H25" s="26" t="n"/>
      <c r="I25" s="26" t="n"/>
      <c r="J25" s="26" t="n"/>
      <c r="K25" s="26" t="n"/>
    </row>
    <row r="26">
      <c r="A26" s="27" t="n"/>
      <c r="B26" s="25" t="n"/>
      <c r="C26" s="25" t="n"/>
      <c r="D26" s="25" t="n"/>
      <c r="E26" s="25" t="n"/>
      <c r="F26" s="36" t="n"/>
      <c r="G26" s="36" t="n"/>
      <c r="H26" s="26" t="n"/>
      <c r="I26" s="26" t="n"/>
      <c r="J26" s="26" t="n"/>
      <c r="K26" s="26" t="n"/>
    </row>
    <row r="27">
      <c r="A27" s="27" t="n"/>
      <c r="B27" s="25" t="n"/>
      <c r="C27" s="25" t="n"/>
      <c r="D27" s="25" t="n"/>
      <c r="E27" s="25" t="n"/>
      <c r="F27" s="36" t="n"/>
      <c r="G27" s="36" t="n"/>
      <c r="H27" s="26" t="n"/>
      <c r="I27" s="26" t="n"/>
      <c r="J27" s="26" t="n"/>
      <c r="K27" s="26" t="n"/>
    </row>
    <row r="28">
      <c r="A28" s="27" t="n"/>
      <c r="B28" s="25" t="n"/>
      <c r="C28" s="25" t="n"/>
      <c r="D28" s="25" t="n"/>
      <c r="E28" s="25" t="n"/>
      <c r="F28" s="36" t="n"/>
      <c r="G28" s="36" t="n"/>
      <c r="H28" s="26" t="n"/>
      <c r="I28" s="26" t="n"/>
      <c r="J28" s="26" t="n"/>
      <c r="K28" s="26" t="n"/>
    </row>
    <row r="29">
      <c r="A29" s="27" t="n"/>
      <c r="B29" s="25" t="n"/>
      <c r="C29" s="25" t="n"/>
      <c r="D29" s="25" t="n"/>
      <c r="E29" s="25" t="n"/>
      <c r="F29" s="36" t="n"/>
      <c r="G29" s="36" t="n"/>
      <c r="H29" s="26" t="n"/>
      <c r="I29" s="26" t="n"/>
      <c r="J29" s="26" t="n"/>
      <c r="K29" s="26" t="n"/>
    </row>
    <row r="30">
      <c r="A30" s="27" t="n"/>
      <c r="B30" s="25" t="n"/>
      <c r="C30" s="25" t="n"/>
      <c r="D30" s="25" t="n"/>
      <c r="E30" s="25" t="n"/>
      <c r="F30" s="36" t="n"/>
      <c r="G30" s="36" t="n"/>
      <c r="H30" s="26" t="n"/>
      <c r="I30" s="26" t="n"/>
      <c r="J30" s="26" t="n"/>
      <c r="K30" s="26" t="n"/>
    </row>
    <row r="31">
      <c r="A31" s="27" t="n"/>
      <c r="B31" s="25" t="n"/>
      <c r="C31" s="25" t="n"/>
      <c r="D31" s="25" t="n"/>
      <c r="E31" s="25" t="n"/>
      <c r="F31" s="36" t="n"/>
      <c r="G31" s="36" t="n"/>
      <c r="H31" s="26" t="n"/>
      <c r="I31" s="26" t="n"/>
      <c r="J31" s="26" t="n"/>
      <c r="K31" s="26" t="n"/>
    </row>
    <row r="32">
      <c r="A32" s="27" t="n"/>
      <c r="B32" s="25" t="n"/>
      <c r="C32" s="25" t="n"/>
      <c r="D32" s="25" t="n"/>
      <c r="E32" s="25" t="n"/>
      <c r="F32" s="36" t="n"/>
      <c r="G32" s="36" t="n"/>
      <c r="H32" s="26" t="n"/>
      <c r="I32" s="26" t="n"/>
      <c r="J32" s="26" t="n"/>
      <c r="K32" s="26" t="n"/>
    </row>
    <row r="33">
      <c r="A33" s="27" t="n"/>
      <c r="B33" s="25" t="n"/>
      <c r="C33" s="25" t="n"/>
      <c r="D33" s="25" t="n"/>
      <c r="E33" s="25" t="n"/>
      <c r="F33" s="36" t="n"/>
      <c r="G33" s="36" t="n"/>
      <c r="H33" s="26" t="n"/>
      <c r="I33" s="26" t="n"/>
      <c r="J33" s="26" t="n"/>
      <c r="K33" s="26" t="n"/>
    </row>
    <row r="34">
      <c r="A34" s="27" t="n"/>
      <c r="B34" s="25" t="n"/>
      <c r="C34" s="25" t="n"/>
      <c r="D34" s="25" t="n"/>
      <c r="E34" s="25" t="n"/>
      <c r="F34" s="36" t="n"/>
      <c r="G34" s="36" t="n"/>
      <c r="H34" s="26" t="n"/>
      <c r="I34" s="26" t="n"/>
      <c r="J34" s="26" t="n"/>
      <c r="K34" s="26" t="n"/>
    </row>
    <row r="35">
      <c r="A35" s="27" t="n"/>
      <c r="B35" s="25" t="n"/>
      <c r="C35" s="25" t="n"/>
      <c r="D35" s="25" t="n"/>
      <c r="E35" s="25" t="n"/>
      <c r="F35" s="36" t="n"/>
      <c r="G35" s="36" t="n"/>
      <c r="H35" s="26" t="n"/>
      <c r="I35" s="26" t="n"/>
      <c r="J35" s="26" t="n"/>
      <c r="K35" s="26" t="n"/>
    </row>
    <row r="36">
      <c r="A36" s="27" t="n"/>
      <c r="B36" s="25" t="n"/>
      <c r="C36" s="25" t="n"/>
      <c r="D36" s="25" t="n"/>
      <c r="E36" s="25" t="n"/>
      <c r="F36" s="36" t="n"/>
      <c r="G36" s="36" t="n"/>
      <c r="H36" s="26" t="n"/>
      <c r="I36" s="26" t="n"/>
      <c r="J36" s="26" t="n"/>
      <c r="K36" s="26" t="n"/>
    </row>
    <row r="37">
      <c r="A37" s="27" t="n"/>
      <c r="B37" s="25" t="n"/>
      <c r="C37" s="25" t="n"/>
      <c r="D37" s="25" t="n"/>
      <c r="E37" s="25" t="n"/>
      <c r="F37" s="36" t="n"/>
      <c r="G37" s="36" t="n"/>
      <c r="H37" s="26" t="n"/>
      <c r="I37" s="26" t="n"/>
      <c r="J37" s="26" t="n"/>
      <c r="K37" s="26" t="n"/>
    </row>
    <row r="38">
      <c r="A38" s="27" t="n"/>
      <c r="B38" s="25" t="n"/>
      <c r="C38" s="25" t="n"/>
      <c r="D38" s="25" t="n"/>
      <c r="E38" s="25" t="n"/>
      <c r="F38" s="36" t="n"/>
      <c r="G38" s="36" t="n"/>
      <c r="H38" s="26" t="n"/>
      <c r="I38" s="26" t="n"/>
      <c r="J38" s="26" t="n"/>
      <c r="K38" s="26" t="n"/>
    </row>
    <row r="39">
      <c r="A39" s="27" t="n"/>
      <c r="B39" s="25" t="n"/>
      <c r="C39" s="25" t="n"/>
      <c r="D39" s="25" t="n"/>
      <c r="E39" s="25" t="n"/>
      <c r="F39" s="36" t="n"/>
      <c r="G39" s="36" t="n"/>
      <c r="H39" s="26" t="n"/>
      <c r="I39" s="26" t="n"/>
      <c r="J39" s="26" t="n"/>
      <c r="K39" s="26" t="n"/>
    </row>
    <row r="40">
      <c r="A40" s="27" t="n"/>
      <c r="B40" s="25" t="n"/>
      <c r="C40" s="25" t="n"/>
      <c r="D40" s="25" t="n"/>
      <c r="E40" s="25" t="n"/>
      <c r="F40" s="36" t="n"/>
      <c r="G40" s="36" t="n"/>
      <c r="H40" s="26" t="n"/>
      <c r="I40" s="26" t="n"/>
      <c r="J40" s="26" t="n"/>
      <c r="K40" s="26" t="n"/>
    </row>
    <row r="41">
      <c r="A41" s="27" t="n"/>
      <c r="B41" s="25" t="n"/>
      <c r="C41" s="25" t="n"/>
      <c r="D41" s="25" t="n"/>
      <c r="E41" s="25" t="n"/>
      <c r="F41" s="36" t="n"/>
      <c r="G41" s="36" t="n"/>
      <c r="H41" s="26" t="n"/>
      <c r="I41" s="26" t="n"/>
      <c r="J41" s="26" t="n"/>
      <c r="K41" s="26" t="n"/>
    </row>
    <row r="42">
      <c r="A42" s="27" t="n"/>
      <c r="B42" s="25" t="n"/>
      <c r="C42" s="25" t="n"/>
      <c r="D42" s="25" t="n"/>
      <c r="E42" s="25" t="n"/>
      <c r="F42" s="36" t="n"/>
      <c r="G42" s="36" t="n"/>
      <c r="H42" s="26" t="n"/>
      <c r="I42" s="26" t="n"/>
      <c r="J42" s="26" t="n"/>
      <c r="K42" s="26" t="n"/>
    </row>
    <row r="43">
      <c r="A43" s="27" t="n"/>
      <c r="B43" s="25" t="n"/>
      <c r="C43" s="25" t="n"/>
      <c r="D43" s="25" t="n"/>
      <c r="E43" s="25" t="n"/>
      <c r="F43" s="36" t="n"/>
      <c r="G43" s="36" t="n"/>
      <c r="H43" s="26" t="n"/>
      <c r="I43" s="26" t="n"/>
      <c r="J43" s="26" t="n"/>
      <c r="K43" s="26" t="n"/>
    </row>
    <row r="44">
      <c r="A44" s="27" t="n"/>
      <c r="B44" s="25" t="n"/>
      <c r="C44" s="25" t="n"/>
      <c r="D44" s="25" t="n"/>
      <c r="E44" s="25" t="n"/>
      <c r="F44" s="36" t="n"/>
      <c r="G44" s="36" t="n"/>
      <c r="H44" s="26" t="n"/>
      <c r="I44" s="26" t="n"/>
      <c r="J44" s="26" t="n"/>
      <c r="K44" s="26" t="n"/>
    </row>
    <row r="45">
      <c r="A45" s="27" t="n"/>
      <c r="B45" s="25" t="n"/>
      <c r="C45" s="25" t="n"/>
      <c r="D45" s="25" t="n"/>
      <c r="E45" s="25" t="n"/>
      <c r="F45" s="36" t="n"/>
      <c r="G45" s="36" t="n"/>
      <c r="H45" s="26" t="n"/>
      <c r="I45" s="26" t="n"/>
      <c r="J45" s="26" t="n"/>
      <c r="K45" s="26" t="n"/>
    </row>
    <row r="46">
      <c r="A46" s="27" t="n"/>
      <c r="B46" s="25" t="n"/>
      <c r="C46" s="25" t="n"/>
      <c r="D46" s="25" t="n"/>
      <c r="E46" s="25" t="n"/>
      <c r="F46" s="36" t="n"/>
      <c r="G46" s="36" t="n"/>
      <c r="H46" s="26" t="n"/>
      <c r="I46" s="26" t="n"/>
      <c r="J46" s="26" t="n"/>
      <c r="K46" s="26" t="n"/>
    </row>
    <row r="47">
      <c r="A47" s="27" t="n"/>
      <c r="B47" s="25" t="n"/>
      <c r="C47" s="25" t="n"/>
      <c r="D47" s="25" t="n"/>
      <c r="E47" s="25" t="n"/>
      <c r="F47" s="36" t="n"/>
      <c r="G47" s="36" t="n"/>
      <c r="H47" s="26" t="n"/>
      <c r="I47" s="26" t="n"/>
      <c r="J47" s="26" t="n"/>
      <c r="K47" s="26" t="n"/>
    </row>
    <row r="48">
      <c r="A48" s="27" t="n"/>
      <c r="B48" s="25" t="n"/>
      <c r="C48" s="25" t="n"/>
      <c r="D48" s="25" t="n"/>
      <c r="E48" s="25" t="n"/>
      <c r="F48" s="36" t="n"/>
      <c r="G48" s="36" t="n"/>
      <c r="H48" s="26" t="n"/>
      <c r="I48" s="26" t="n"/>
      <c r="J48" s="26" t="n"/>
      <c r="K48" s="26" t="n"/>
    </row>
    <row r="49">
      <c r="A49" s="27" t="n"/>
      <c r="B49" s="25" t="n"/>
      <c r="C49" s="25" t="n"/>
      <c r="D49" s="25" t="n"/>
      <c r="E49" s="25" t="n"/>
      <c r="F49" s="36" t="n"/>
      <c r="G49" s="36" t="n"/>
      <c r="H49" s="26" t="n"/>
      <c r="I49" s="26" t="n"/>
      <c r="J49" s="26" t="n"/>
      <c r="K49" s="26" t="n"/>
    </row>
    <row r="50">
      <c r="A50" s="27" t="n"/>
      <c r="B50" s="25" t="n"/>
      <c r="C50" s="25" t="n"/>
      <c r="D50" s="25" t="n"/>
      <c r="E50" s="25" t="n"/>
      <c r="F50" s="36" t="n"/>
      <c r="G50" s="36" t="n"/>
      <c r="H50" s="26" t="n"/>
      <c r="I50" s="26" t="n"/>
      <c r="J50" s="26" t="n"/>
      <c r="K50" s="26" t="n"/>
    </row>
    <row r="51">
      <c r="A51" s="27" t="n"/>
      <c r="B51" s="25" t="n"/>
      <c r="C51" s="25" t="n"/>
      <c r="D51" s="25" t="n"/>
      <c r="E51" s="25" t="n"/>
      <c r="F51" s="36" t="n"/>
      <c r="G51" s="36" t="n"/>
      <c r="H51" s="26" t="n"/>
      <c r="I51" s="26" t="n"/>
      <c r="J51" s="26" t="n"/>
      <c r="K51" s="26" t="n"/>
    </row>
    <row r="52">
      <c r="A52" s="27" t="n"/>
      <c r="B52" s="25" t="n"/>
      <c r="C52" s="25" t="n"/>
      <c r="D52" s="25" t="n"/>
      <c r="E52" s="25" t="n"/>
      <c r="F52" s="36" t="n"/>
      <c r="G52" s="36" t="n"/>
      <c r="H52" s="26" t="n"/>
      <c r="I52" s="26" t="n"/>
      <c r="J52" s="26" t="n"/>
      <c r="K52" s="26" t="n"/>
    </row>
    <row r="53">
      <c r="A53" s="27" t="n"/>
      <c r="B53" s="25" t="n"/>
      <c r="C53" s="25" t="n"/>
      <c r="D53" s="25" t="n"/>
      <c r="E53" s="25" t="n"/>
      <c r="F53" s="36" t="n"/>
      <c r="G53" s="36" t="n"/>
      <c r="H53" s="26" t="n"/>
      <c r="I53" s="26" t="n"/>
      <c r="J53" s="26" t="n"/>
      <c r="K53" s="26" t="n"/>
    </row>
    <row r="54">
      <c r="A54" s="27" t="n"/>
      <c r="B54" s="25" t="n"/>
      <c r="C54" s="25" t="n"/>
      <c r="D54" s="25" t="n"/>
      <c r="E54" s="25" t="n"/>
      <c r="F54" s="36" t="n"/>
      <c r="G54" s="36" t="n"/>
      <c r="H54" s="26" t="n"/>
      <c r="I54" s="26" t="n"/>
      <c r="J54" s="26" t="n"/>
      <c r="K54" s="26" t="n"/>
    </row>
    <row r="55">
      <c r="A55" s="27" t="n"/>
      <c r="B55" s="25" t="n"/>
      <c r="C55" s="25" t="n"/>
      <c r="D55" s="25" t="n"/>
      <c r="E55" s="25" t="n"/>
      <c r="F55" s="36" t="n"/>
      <c r="G55" s="36" t="n"/>
      <c r="H55" s="26" t="n"/>
      <c r="I55" s="26" t="n"/>
      <c r="J55" s="26" t="n"/>
      <c r="K55" s="26" t="n"/>
    </row>
    <row r="56">
      <c r="A56" s="27" t="n"/>
      <c r="B56" s="25" t="n"/>
      <c r="C56" s="25" t="n"/>
      <c r="D56" s="25" t="n"/>
      <c r="E56" s="25" t="n"/>
      <c r="F56" s="36" t="n"/>
      <c r="G56" s="36" t="n"/>
      <c r="H56" s="26" t="n"/>
      <c r="I56" s="26" t="n"/>
      <c r="J56" s="26" t="n"/>
      <c r="K56" s="26" t="n"/>
    </row>
    <row r="57">
      <c r="A57" s="27" t="n"/>
      <c r="B57" s="25" t="n"/>
      <c r="C57" s="25" t="n"/>
      <c r="D57" s="25" t="n"/>
      <c r="E57" s="25" t="n"/>
      <c r="F57" s="36" t="n"/>
      <c r="G57" s="36" t="n"/>
      <c r="H57" s="26" t="n"/>
      <c r="I57" s="26" t="n"/>
      <c r="J57" s="26" t="n"/>
      <c r="K57" s="26" t="n"/>
    </row>
    <row r="58">
      <c r="A58" s="27" t="n"/>
      <c r="B58" s="25" t="n"/>
      <c r="C58" s="25" t="n"/>
      <c r="D58" s="25" t="n"/>
      <c r="E58" s="25" t="n"/>
      <c r="F58" s="36" t="n"/>
      <c r="G58" s="36" t="n"/>
      <c r="H58" s="26" t="n"/>
      <c r="I58" s="26" t="n"/>
      <c r="J58" s="26" t="n"/>
      <c r="K58" s="26" t="n"/>
    </row>
    <row r="59">
      <c r="A59" s="27" t="n"/>
      <c r="B59" s="25" t="n"/>
      <c r="C59" s="25" t="n"/>
      <c r="D59" s="25" t="n"/>
      <c r="E59" s="25" t="n"/>
      <c r="F59" s="36" t="n"/>
      <c r="G59" s="36" t="n"/>
      <c r="H59" s="26" t="n"/>
      <c r="I59" s="26" t="n"/>
      <c r="J59" s="26" t="n"/>
      <c r="K59" s="26" t="n"/>
    </row>
    <row r="60">
      <c r="A60" s="27" t="n"/>
      <c r="B60" s="25" t="n"/>
      <c r="C60" s="25" t="n"/>
      <c r="D60" s="25" t="n"/>
      <c r="E60" s="25" t="n"/>
      <c r="F60" s="36" t="n"/>
      <c r="G60" s="36" t="n"/>
      <c r="H60" s="26" t="n"/>
      <c r="I60" s="26" t="n"/>
      <c r="J60" s="26" t="n"/>
      <c r="K60" s="26" t="n"/>
    </row>
    <row r="61">
      <c r="A61" s="27" t="n"/>
      <c r="B61" s="25" t="n"/>
      <c r="C61" s="25" t="n"/>
      <c r="D61" s="25" t="n"/>
      <c r="E61" s="25" t="n"/>
      <c r="F61" s="36" t="n"/>
      <c r="G61" s="36" t="n"/>
      <c r="H61" s="26" t="n"/>
      <c r="I61" s="26" t="n"/>
      <c r="J61" s="26" t="n"/>
      <c r="K61" s="26" t="n"/>
    </row>
    <row r="62">
      <c r="A62" s="27" t="n"/>
      <c r="B62" s="25" t="n"/>
      <c r="C62" s="25" t="n"/>
      <c r="D62" s="25" t="n"/>
      <c r="E62" s="25" t="n"/>
      <c r="F62" s="36" t="n"/>
      <c r="G62" s="36" t="n"/>
      <c r="H62" s="26" t="n"/>
      <c r="I62" s="26" t="n"/>
      <c r="J62" s="26" t="n"/>
      <c r="K62" s="26" t="n"/>
    </row>
    <row r="63">
      <c r="A63" s="27" t="n"/>
      <c r="B63" s="25" t="n"/>
      <c r="C63" s="25" t="n"/>
      <c r="D63" s="25" t="n"/>
      <c r="E63" s="25" t="n"/>
      <c r="F63" s="36" t="n"/>
      <c r="G63" s="36" t="n"/>
      <c r="H63" s="26" t="n"/>
      <c r="I63" s="26" t="n"/>
      <c r="J63" s="26" t="n"/>
      <c r="K63" s="26" t="n"/>
    </row>
    <row r="64">
      <c r="A64" s="27" t="n"/>
      <c r="B64" s="25" t="n"/>
      <c r="C64" s="25" t="n"/>
      <c r="D64" s="25" t="n"/>
      <c r="E64" s="25" t="n"/>
      <c r="F64" s="36" t="n"/>
      <c r="G64" s="36" t="n"/>
      <c r="H64" s="26" t="n"/>
      <c r="I64" s="26" t="n"/>
      <c r="J64" s="26" t="n"/>
      <c r="K64" s="26" t="n"/>
    </row>
    <row r="65">
      <c r="A65" s="27" t="n"/>
      <c r="B65" s="25" t="n"/>
      <c r="C65" s="25" t="n"/>
      <c r="D65" s="25" t="n"/>
      <c r="E65" s="25" t="n"/>
      <c r="F65" s="36" t="n"/>
      <c r="G65" s="36" t="n"/>
      <c r="H65" s="26" t="n"/>
      <c r="I65" s="26" t="n"/>
      <c r="J65" s="26" t="n"/>
      <c r="K65" s="26" t="n"/>
    </row>
    <row r="66">
      <c r="A66" s="27" t="n"/>
      <c r="B66" s="25" t="n"/>
      <c r="C66" s="25" t="n"/>
      <c r="D66" s="25" t="n"/>
      <c r="E66" s="25" t="n"/>
      <c r="F66" s="36" t="n"/>
      <c r="G66" s="36" t="n"/>
      <c r="H66" s="26" t="n"/>
      <c r="I66" s="26" t="n"/>
      <c r="J66" s="26" t="n"/>
      <c r="K66" s="26" t="n"/>
    </row>
    <row r="67">
      <c r="A67" s="27" t="n"/>
      <c r="B67" s="25" t="n"/>
      <c r="C67" s="25" t="n"/>
      <c r="D67" s="25" t="n"/>
      <c r="E67" s="25" t="n"/>
      <c r="F67" s="36" t="n"/>
      <c r="G67" s="36" t="n"/>
      <c r="H67" s="26" t="n"/>
      <c r="I67" s="26" t="n"/>
      <c r="J67" s="26" t="n"/>
      <c r="K67" s="26" t="n"/>
    </row>
    <row r="68">
      <c r="A68" s="27" t="n"/>
      <c r="B68" s="25" t="n"/>
      <c r="C68" s="25" t="n"/>
      <c r="D68" s="25" t="n"/>
      <c r="E68" s="25" t="n"/>
      <c r="F68" s="36" t="n"/>
      <c r="G68" s="36" t="n"/>
      <c r="H68" s="26" t="n"/>
      <c r="I68" s="26" t="n"/>
      <c r="J68" s="26" t="n"/>
      <c r="K68" s="26" t="n"/>
    </row>
    <row r="69">
      <c r="A69" s="27" t="n"/>
      <c r="B69" s="25" t="n"/>
      <c r="C69" s="25" t="n"/>
      <c r="D69" s="25" t="n"/>
      <c r="E69" s="25" t="n"/>
      <c r="F69" s="36" t="n"/>
      <c r="G69" s="36" t="n"/>
      <c r="H69" s="26" t="n"/>
      <c r="I69" s="26" t="n"/>
      <c r="J69" s="26" t="n"/>
      <c r="K69" s="26" t="n"/>
    </row>
    <row r="70">
      <c r="A70" s="27" t="n"/>
      <c r="B70" s="25" t="n"/>
      <c r="C70" s="25" t="n"/>
      <c r="D70" s="25" t="n"/>
      <c r="E70" s="25" t="n"/>
      <c r="F70" s="36" t="n"/>
      <c r="G70" s="36" t="n"/>
      <c r="H70" s="26" t="n"/>
      <c r="I70" s="26" t="n"/>
      <c r="J70" s="26" t="n"/>
      <c r="K70" s="26" t="n"/>
    </row>
    <row r="71">
      <c r="A71" s="27" t="n"/>
      <c r="B71" s="25" t="n"/>
      <c r="C71" s="25" t="n"/>
      <c r="D71" s="25" t="n"/>
      <c r="E71" s="25" t="n"/>
      <c r="F71" s="36" t="n"/>
      <c r="G71" s="36" t="n"/>
      <c r="H71" s="26" t="n"/>
      <c r="I71" s="26" t="n"/>
      <c r="J71" s="26" t="n"/>
      <c r="K71" s="26" t="n"/>
    </row>
    <row r="72">
      <c r="A72" s="27" t="n"/>
      <c r="B72" s="25" t="n"/>
      <c r="C72" s="25" t="n"/>
      <c r="D72" s="25" t="n"/>
      <c r="E72" s="25" t="n"/>
      <c r="F72" s="36" t="n"/>
      <c r="G72" s="36" t="n"/>
      <c r="H72" s="26" t="n"/>
      <c r="I72" s="26" t="n"/>
      <c r="J72" s="26" t="n"/>
      <c r="K72" s="26" t="n"/>
    </row>
    <row r="73">
      <c r="A73" s="27" t="n"/>
      <c r="B73" s="25" t="n"/>
      <c r="C73" s="25" t="n"/>
      <c r="D73" s="25" t="n"/>
      <c r="E73" s="25" t="n"/>
      <c r="F73" s="36" t="n"/>
      <c r="G73" s="36" t="n"/>
      <c r="H73" s="26" t="n"/>
      <c r="I73" s="26" t="n"/>
      <c r="J73" s="26" t="n"/>
      <c r="K73" s="26" t="n"/>
    </row>
    <row r="74">
      <c r="A74" s="27" t="n"/>
      <c r="B74" s="25" t="n"/>
      <c r="C74" s="25" t="n"/>
      <c r="D74" s="25" t="n"/>
      <c r="E74" s="25" t="n"/>
      <c r="F74" s="36" t="n"/>
      <c r="G74" s="36" t="n"/>
      <c r="H74" s="26" t="n"/>
      <c r="I74" s="26" t="n"/>
      <c r="J74" s="26" t="n"/>
      <c r="K74" s="26" t="n"/>
    </row>
    <row r="75">
      <c r="A75" s="27" t="n"/>
      <c r="B75" s="25" t="n"/>
      <c r="C75" s="25" t="n"/>
      <c r="D75" s="25" t="n"/>
      <c r="E75" s="25" t="n"/>
      <c r="F75" s="36" t="n"/>
      <c r="G75" s="36" t="n"/>
      <c r="H75" s="26" t="n"/>
      <c r="I75" s="26" t="n"/>
      <c r="J75" s="26" t="n"/>
      <c r="K75" s="26" t="n"/>
    </row>
    <row r="76">
      <c r="A76" s="27" t="n"/>
      <c r="B76" s="25" t="n"/>
      <c r="C76" s="25" t="n"/>
      <c r="D76" s="25" t="n"/>
      <c r="E76" s="25" t="n"/>
      <c r="F76" s="36" t="n"/>
      <c r="G76" s="36" t="n"/>
      <c r="H76" s="26" t="n"/>
      <c r="I76" s="26" t="n"/>
      <c r="J76" s="26" t="n"/>
      <c r="K76" s="26" t="n"/>
    </row>
    <row r="77">
      <c r="A77" s="27" t="n"/>
      <c r="B77" s="25" t="n"/>
      <c r="C77" s="25" t="n"/>
      <c r="D77" s="25" t="n"/>
      <c r="E77" s="25" t="n"/>
      <c r="F77" s="36" t="n"/>
      <c r="G77" s="36" t="n"/>
      <c r="H77" s="26" t="n"/>
      <c r="I77" s="26" t="n"/>
      <c r="J77" s="26" t="n"/>
      <c r="K77" s="26" t="n"/>
    </row>
    <row r="78">
      <c r="A78" s="27" t="n"/>
      <c r="B78" s="25" t="n"/>
      <c r="C78" s="25" t="n"/>
      <c r="D78" s="25" t="n"/>
      <c r="E78" s="25" t="n"/>
      <c r="F78" s="36" t="n"/>
      <c r="G78" s="36" t="n"/>
      <c r="H78" s="26" t="n"/>
      <c r="I78" s="26" t="n"/>
      <c r="J78" s="26" t="n"/>
      <c r="K78" s="26" t="n"/>
    </row>
    <row r="79">
      <c r="A79" s="27" t="n"/>
      <c r="B79" s="25" t="n"/>
      <c r="C79" s="25" t="n"/>
      <c r="D79" s="25" t="n"/>
      <c r="E79" s="25" t="n"/>
      <c r="F79" s="36" t="n"/>
      <c r="G79" s="36" t="n"/>
      <c r="H79" s="26" t="n"/>
      <c r="I79" s="26" t="n"/>
      <c r="J79" s="26" t="n"/>
      <c r="K79" s="26" t="n"/>
    </row>
    <row r="80">
      <c r="A80" s="27" t="n"/>
      <c r="B80" s="25" t="n"/>
      <c r="C80" s="25" t="n"/>
      <c r="D80" s="25" t="n"/>
      <c r="E80" s="25" t="n"/>
      <c r="F80" s="36" t="n"/>
      <c r="G80" s="36" t="n"/>
      <c r="H80" s="26" t="n"/>
      <c r="I80" s="26" t="n"/>
      <c r="J80" s="26" t="n"/>
      <c r="K80" s="26" t="n"/>
    </row>
    <row r="81">
      <c r="A81" s="27" t="n"/>
      <c r="B81" s="25" t="n"/>
      <c r="C81" s="25" t="n"/>
      <c r="D81" s="25" t="n"/>
      <c r="E81" s="25" t="n"/>
      <c r="F81" s="36" t="n"/>
      <c r="G81" s="36" t="n"/>
      <c r="H81" s="26" t="n"/>
      <c r="I81" s="26" t="n"/>
      <c r="J81" s="26" t="n"/>
      <c r="K81" s="26" t="n"/>
    </row>
    <row r="82">
      <c r="A82" s="27" t="n"/>
      <c r="B82" s="25" t="n"/>
      <c r="C82" s="25" t="n"/>
      <c r="D82" s="25" t="n"/>
      <c r="E82" s="25" t="n"/>
      <c r="F82" s="36" t="n"/>
      <c r="G82" s="36" t="n"/>
      <c r="H82" s="26" t="n"/>
      <c r="I82" s="26" t="n"/>
      <c r="J82" s="26" t="n"/>
      <c r="K82" s="26" t="n"/>
    </row>
    <row r="83">
      <c r="A83" s="27" t="n"/>
      <c r="B83" s="25" t="n"/>
      <c r="C83" s="25" t="n"/>
      <c r="D83" s="25" t="n"/>
      <c r="E83" s="25" t="n"/>
      <c r="F83" s="36" t="n"/>
      <c r="G83" s="36" t="n"/>
      <c r="H83" s="26" t="n"/>
      <c r="I83" s="26" t="n"/>
      <c r="J83" s="26" t="n"/>
      <c r="K83" s="26" t="n"/>
    </row>
    <row r="84">
      <c r="A84" s="27" t="n"/>
      <c r="B84" s="25" t="n"/>
      <c r="C84" s="25" t="n"/>
      <c r="D84" s="25" t="n"/>
      <c r="E84" s="25" t="n"/>
      <c r="F84" s="36" t="n"/>
      <c r="G84" s="36" t="n"/>
      <c r="H84" s="26" t="n"/>
      <c r="I84" s="26" t="n"/>
      <c r="J84" s="26" t="n"/>
      <c r="K84" s="26" t="n"/>
    </row>
    <row r="85">
      <c r="A85" s="27" t="n"/>
      <c r="B85" s="25" t="n"/>
      <c r="C85" s="25" t="n"/>
      <c r="D85" s="25" t="n"/>
      <c r="E85" s="25" t="n"/>
      <c r="F85" s="36" t="n"/>
      <c r="G85" s="36" t="n"/>
      <c r="H85" s="26" t="n"/>
      <c r="I85" s="26" t="n"/>
      <c r="J85" s="26" t="n"/>
      <c r="K85" s="26" t="n"/>
    </row>
    <row r="86">
      <c r="A86" s="27" t="n"/>
      <c r="B86" s="25" t="n"/>
      <c r="C86" s="25" t="n"/>
      <c r="D86" s="25" t="n"/>
      <c r="E86" s="25" t="n"/>
      <c r="F86" s="36" t="n"/>
      <c r="G86" s="36" t="n"/>
      <c r="H86" s="26" t="n"/>
      <c r="I86" s="26" t="n"/>
      <c r="J86" s="26" t="n"/>
      <c r="K86" s="26" t="n"/>
    </row>
    <row r="87">
      <c r="A87" s="27" t="n"/>
      <c r="B87" s="25" t="n"/>
      <c r="C87" s="25" t="n"/>
      <c r="D87" s="25" t="n"/>
      <c r="E87" s="25" t="n"/>
      <c r="F87" s="36" t="n"/>
      <c r="G87" s="36" t="n"/>
      <c r="H87" s="26" t="n"/>
      <c r="I87" s="26" t="n"/>
      <c r="J87" s="26" t="n"/>
      <c r="K87" s="26" t="n"/>
    </row>
    <row r="88">
      <c r="A88" s="27" t="n"/>
      <c r="B88" s="25" t="n"/>
      <c r="C88" s="25" t="n"/>
      <c r="D88" s="25" t="n"/>
      <c r="E88" s="25" t="n"/>
      <c r="F88" s="36" t="n"/>
      <c r="G88" s="36" t="n"/>
      <c r="H88" s="26" t="n"/>
      <c r="I88" s="26" t="n"/>
      <c r="J88" s="26" t="n"/>
      <c r="K88" s="26" t="n"/>
    </row>
    <row r="89">
      <c r="A89" s="27" t="n"/>
      <c r="B89" s="25" t="n"/>
      <c r="C89" s="25" t="n"/>
      <c r="D89" s="25" t="n"/>
      <c r="E89" s="25" t="n"/>
      <c r="F89" s="36" t="n"/>
      <c r="G89" s="36" t="n"/>
      <c r="H89" s="26" t="n"/>
      <c r="I89" s="26" t="n"/>
      <c r="J89" s="26" t="n"/>
      <c r="K89" s="26" t="n"/>
    </row>
    <row r="90">
      <c r="A90" s="27" t="n"/>
      <c r="B90" s="25" t="n"/>
      <c r="C90" s="25" t="n"/>
      <c r="D90" s="25" t="n"/>
      <c r="E90" s="25" t="n"/>
      <c r="F90" s="36" t="n"/>
      <c r="G90" s="36" t="n"/>
      <c r="H90" s="26" t="n"/>
      <c r="I90" s="26" t="n"/>
      <c r="J90" s="26" t="n"/>
      <c r="K90" s="26" t="n"/>
    </row>
    <row r="91">
      <c r="A91" s="27" t="n"/>
      <c r="B91" s="25" t="n"/>
      <c r="C91" s="25" t="n"/>
      <c r="D91" s="25" t="n"/>
      <c r="E91" s="25" t="n"/>
      <c r="F91" s="36" t="n"/>
      <c r="G91" s="36" t="n"/>
      <c r="H91" s="26" t="n"/>
      <c r="I91" s="26" t="n"/>
      <c r="J91" s="26" t="n"/>
      <c r="K91" s="26" t="n"/>
    </row>
    <row r="92">
      <c r="A92" s="27" t="n"/>
      <c r="B92" s="25" t="n"/>
      <c r="C92" s="25" t="n"/>
      <c r="D92" s="25" t="n"/>
      <c r="E92" s="25" t="n"/>
      <c r="F92" s="36" t="n"/>
      <c r="G92" s="36" t="n"/>
      <c r="H92" s="26" t="n"/>
      <c r="I92" s="26" t="n"/>
      <c r="J92" s="26" t="n"/>
      <c r="K92" s="26" t="n"/>
    </row>
    <row r="93">
      <c r="A93" s="27" t="n"/>
      <c r="B93" s="25" t="n"/>
      <c r="C93" s="25" t="n"/>
      <c r="D93" s="25" t="n"/>
      <c r="E93" s="25" t="n"/>
      <c r="F93" s="36" t="n"/>
      <c r="G93" s="36" t="n"/>
      <c r="H93" s="26" t="n"/>
      <c r="I93" s="26" t="n"/>
      <c r="J93" s="26" t="n"/>
      <c r="K93" s="26" t="n"/>
    </row>
    <row r="94">
      <c r="A94" s="27" t="n"/>
      <c r="B94" s="25" t="n"/>
      <c r="C94" s="25" t="n"/>
      <c r="D94" s="25" t="n"/>
      <c r="E94" s="25" t="n"/>
      <c r="F94" s="36" t="n"/>
      <c r="G94" s="36" t="n"/>
      <c r="H94" s="26" t="n"/>
      <c r="I94" s="26" t="n"/>
      <c r="J94" s="26" t="n"/>
      <c r="K94" s="26" t="n"/>
    </row>
    <row r="95">
      <c r="A95" s="27" t="n"/>
      <c r="B95" s="25" t="n"/>
      <c r="C95" s="25" t="n"/>
      <c r="D95" s="25" t="n"/>
      <c r="E95" s="25" t="n"/>
      <c r="F95" s="36" t="n"/>
      <c r="G95" s="36" t="n"/>
      <c r="H95" s="26" t="n"/>
      <c r="I95" s="26" t="n"/>
      <c r="J95" s="26" t="n"/>
      <c r="K95" s="26" t="n"/>
    </row>
    <row r="96">
      <c r="A96" s="27" t="n"/>
      <c r="B96" s="25" t="n"/>
      <c r="C96" s="25" t="n"/>
      <c r="D96" s="25" t="n"/>
      <c r="E96" s="25" t="n"/>
      <c r="F96" s="36" t="n"/>
      <c r="G96" s="36" t="n"/>
      <c r="H96" s="26" t="n"/>
      <c r="I96" s="26" t="n"/>
      <c r="J96" s="26" t="n"/>
      <c r="K96" s="26" t="n"/>
    </row>
    <row r="97">
      <c r="A97" s="27" t="n"/>
      <c r="B97" s="25" t="n"/>
      <c r="C97" s="25" t="n"/>
      <c r="D97" s="25" t="n"/>
      <c r="E97" s="25" t="n"/>
      <c r="F97" s="36" t="n"/>
      <c r="G97" s="36" t="n"/>
      <c r="H97" s="26" t="n"/>
      <c r="I97" s="26" t="n"/>
      <c r="J97" s="26" t="n"/>
      <c r="K97" s="26" t="n"/>
    </row>
    <row r="98">
      <c r="A98" s="27" t="n"/>
      <c r="B98" s="25" t="n"/>
      <c r="C98" s="25" t="n"/>
      <c r="D98" s="25" t="n"/>
      <c r="E98" s="25" t="n"/>
      <c r="F98" s="36" t="n"/>
      <c r="G98" s="36" t="n"/>
      <c r="H98" s="26" t="n"/>
      <c r="I98" s="26" t="n"/>
      <c r="J98" s="26" t="n"/>
      <c r="K98" s="26" t="n"/>
    </row>
    <row r="99">
      <c r="A99" s="27" t="n"/>
      <c r="B99" s="25" t="n"/>
      <c r="C99" s="25" t="n"/>
      <c r="D99" s="25" t="n"/>
      <c r="E99" s="25" t="n"/>
      <c r="F99" s="36" t="n"/>
      <c r="G99" s="36" t="n"/>
      <c r="H99" s="26" t="n"/>
      <c r="I99" s="26" t="n"/>
      <c r="J99" s="26" t="n"/>
      <c r="K99" s="26" t="n"/>
    </row>
    <row r="100">
      <c r="A100" s="27" t="n"/>
      <c r="B100" s="25" t="n"/>
      <c r="C100" s="25" t="n"/>
      <c r="D100" s="25" t="n"/>
      <c r="E100" s="25" t="n"/>
      <c r="F100" s="36" t="n"/>
      <c r="G100" s="36" t="n"/>
      <c r="H100" s="26" t="n"/>
      <c r="I100" s="26" t="n"/>
      <c r="J100" s="26" t="n"/>
      <c r="K100" s="26" t="n"/>
    </row>
    <row r="101">
      <c r="A101" s="27" t="n"/>
      <c r="B101" s="25" t="n"/>
      <c r="C101" s="25" t="n"/>
      <c r="D101" s="25" t="n"/>
      <c r="E101" s="25" t="n"/>
      <c r="F101" s="36" t="n"/>
      <c r="G101" s="36" t="n"/>
      <c r="H101" s="26" t="n"/>
      <c r="I101" s="26" t="n"/>
      <c r="J101" s="26" t="n"/>
      <c r="K101" s="26" t="n"/>
    </row>
    <row r="102">
      <c r="A102" s="27" t="n"/>
      <c r="B102" s="25" t="n"/>
      <c r="C102" s="25" t="n"/>
      <c r="D102" s="25" t="n"/>
      <c r="E102" s="25" t="n"/>
      <c r="F102" s="36" t="n"/>
      <c r="G102" s="36" t="n"/>
      <c r="H102" s="26" t="n"/>
      <c r="I102" s="26" t="n"/>
      <c r="J102" s="26" t="n"/>
      <c r="K102" s="26" t="n"/>
    </row>
    <row r="103">
      <c r="A103" s="27" t="n"/>
      <c r="B103" s="25" t="n"/>
      <c r="C103" s="25" t="n"/>
      <c r="D103" s="25" t="n"/>
      <c r="E103" s="25" t="n"/>
      <c r="F103" s="36" t="n"/>
      <c r="G103" s="36" t="n"/>
      <c r="H103" s="26" t="n"/>
      <c r="I103" s="26" t="n"/>
      <c r="J103" s="26" t="n"/>
      <c r="K103" s="26" t="n"/>
    </row>
    <row r="104">
      <c r="A104" s="27" t="n"/>
      <c r="B104" s="25" t="n"/>
      <c r="C104" s="25" t="n"/>
      <c r="D104" s="25" t="n"/>
      <c r="E104" s="25" t="n"/>
      <c r="F104" s="36" t="n"/>
      <c r="G104" s="36" t="n"/>
      <c r="H104" s="26" t="n"/>
      <c r="I104" s="26" t="n"/>
      <c r="J104" s="26" t="n"/>
      <c r="K104" s="26" t="n"/>
    </row>
    <row r="105">
      <c r="A105" s="27" t="n"/>
      <c r="B105" s="25" t="n"/>
      <c r="C105" s="25" t="n"/>
      <c r="D105" s="25" t="n"/>
      <c r="E105" s="25" t="n"/>
      <c r="F105" s="36" t="n"/>
      <c r="G105" s="36" t="n"/>
      <c r="H105" s="26" t="n"/>
      <c r="I105" s="26" t="n"/>
      <c r="J105" s="26" t="n"/>
      <c r="K105" s="26" t="n"/>
    </row>
    <row r="106">
      <c r="A106" s="27" t="n"/>
      <c r="B106" s="25" t="n"/>
      <c r="C106" s="25" t="n"/>
      <c r="D106" s="25" t="n"/>
      <c r="E106" s="25" t="n"/>
      <c r="F106" s="36" t="n"/>
      <c r="G106" s="36" t="n"/>
      <c r="H106" s="26" t="n"/>
      <c r="I106" s="26" t="n"/>
      <c r="J106" s="26" t="n"/>
      <c r="K106" s="26" t="n"/>
    </row>
    <row r="107">
      <c r="A107" s="27" t="n"/>
      <c r="B107" s="25" t="n"/>
      <c r="C107" s="25" t="n"/>
      <c r="D107" s="25" t="n"/>
      <c r="E107" s="25" t="n"/>
      <c r="F107" s="36" t="n"/>
      <c r="G107" s="36" t="n"/>
      <c r="H107" s="26" t="n"/>
      <c r="I107" s="26" t="n"/>
      <c r="J107" s="26" t="n"/>
      <c r="K107" s="26" t="n"/>
    </row>
    <row r="108">
      <c r="A108" s="27" t="n"/>
      <c r="B108" s="25" t="n"/>
      <c r="C108" s="25" t="n"/>
      <c r="D108" s="25" t="n"/>
      <c r="E108" s="25" t="n"/>
      <c r="F108" s="36" t="n"/>
      <c r="G108" s="36" t="n"/>
      <c r="H108" s="26" t="n"/>
      <c r="I108" s="26" t="n"/>
      <c r="J108" s="26" t="n"/>
      <c r="K108" s="26" t="n"/>
    </row>
    <row r="109">
      <c r="A109" s="27" t="n"/>
      <c r="B109" s="25" t="n"/>
      <c r="C109" s="25" t="n"/>
      <c r="D109" s="25" t="n"/>
      <c r="E109" s="25" t="n"/>
      <c r="F109" s="36" t="n"/>
      <c r="G109" s="36" t="n"/>
      <c r="H109" s="26" t="n"/>
      <c r="I109" s="26" t="n"/>
      <c r="J109" s="26" t="n"/>
      <c r="K109" s="26" t="n"/>
    </row>
    <row r="110">
      <c r="A110" s="27" t="n"/>
      <c r="B110" s="25" t="n"/>
      <c r="C110" s="25" t="n"/>
      <c r="D110" s="25" t="n"/>
      <c r="E110" s="25" t="n"/>
      <c r="F110" s="36" t="n"/>
      <c r="G110" s="36" t="n"/>
      <c r="H110" s="26" t="n"/>
      <c r="I110" s="26" t="n"/>
      <c r="J110" s="26" t="n"/>
      <c r="K110" s="26" t="n"/>
    </row>
    <row r="111">
      <c r="A111" s="27" t="n"/>
      <c r="B111" s="25" t="n"/>
      <c r="C111" s="25" t="n"/>
      <c r="D111" s="25" t="n"/>
      <c r="E111" s="25" t="n"/>
      <c r="F111" s="36" t="n"/>
      <c r="G111" s="36" t="n"/>
      <c r="H111" s="26" t="n"/>
      <c r="I111" s="26" t="n"/>
      <c r="J111" s="26" t="n"/>
      <c r="K111" s="26" t="n"/>
    </row>
    <row r="112">
      <c r="A112" s="27" t="n"/>
      <c r="B112" s="25" t="n"/>
      <c r="C112" s="25" t="n"/>
      <c r="D112" s="25" t="n"/>
      <c r="E112" s="25" t="n"/>
      <c r="F112" s="36" t="n"/>
      <c r="G112" s="36" t="n"/>
      <c r="H112" s="26" t="n"/>
      <c r="I112" s="26" t="n"/>
      <c r="J112" s="26" t="n"/>
      <c r="K112" s="26" t="n"/>
    </row>
    <row r="113">
      <c r="A113" s="27" t="n"/>
      <c r="B113" s="25" t="n"/>
      <c r="C113" s="25" t="n"/>
      <c r="D113" s="25" t="n"/>
      <c r="E113" s="25" t="n"/>
      <c r="F113" s="36" t="n"/>
      <c r="G113" s="36" t="n"/>
      <c r="H113" s="26" t="n"/>
      <c r="I113" s="26" t="n"/>
      <c r="J113" s="26" t="n"/>
      <c r="K113" s="26" t="n"/>
    </row>
    <row r="114">
      <c r="A114" s="27" t="n"/>
      <c r="B114" s="25" t="n"/>
      <c r="C114" s="25" t="n"/>
      <c r="D114" s="25" t="n"/>
      <c r="E114" s="25" t="n"/>
      <c r="F114" s="36" t="n"/>
      <c r="G114" s="36" t="n"/>
      <c r="H114" s="26" t="n"/>
      <c r="I114" s="26" t="n"/>
      <c r="J114" s="26" t="n"/>
      <c r="K114" s="26" t="n"/>
    </row>
    <row r="115">
      <c r="A115" s="27" t="n"/>
      <c r="B115" s="25" t="n"/>
      <c r="C115" s="25" t="n"/>
      <c r="D115" s="25" t="n"/>
      <c r="E115" s="25" t="n"/>
      <c r="F115" s="36" t="n"/>
      <c r="G115" s="36" t="n"/>
      <c r="H115" s="26" t="n"/>
      <c r="I115" s="26" t="n"/>
      <c r="J115" s="26" t="n"/>
      <c r="K115" s="26" t="n"/>
    </row>
    <row r="116">
      <c r="A116" s="27" t="n"/>
      <c r="B116" s="25" t="n"/>
      <c r="C116" s="25" t="n"/>
      <c r="D116" s="25" t="n"/>
      <c r="E116" s="25" t="n"/>
      <c r="F116" s="36" t="n"/>
      <c r="G116" s="36" t="n"/>
      <c r="H116" s="26" t="n"/>
      <c r="I116" s="26" t="n"/>
      <c r="J116" s="26" t="n"/>
      <c r="K116" s="26" t="n"/>
    </row>
    <row r="117">
      <c r="A117" s="27" t="n"/>
      <c r="B117" s="25" t="n"/>
      <c r="C117" s="25" t="n"/>
      <c r="D117" s="25" t="n"/>
      <c r="E117" s="25" t="n"/>
      <c r="F117" s="36" t="n"/>
      <c r="G117" s="36" t="n"/>
      <c r="H117" s="26" t="n"/>
      <c r="I117" s="26" t="n"/>
      <c r="J117" s="26" t="n"/>
      <c r="K117" s="26" t="n"/>
    </row>
    <row r="118">
      <c r="A118" s="27" t="n"/>
      <c r="B118" s="25" t="n"/>
      <c r="C118" s="25" t="n"/>
      <c r="D118" s="25" t="n"/>
      <c r="E118" s="25" t="n"/>
      <c r="F118" s="36" t="n"/>
      <c r="G118" s="36" t="n"/>
      <c r="H118" s="26" t="n"/>
      <c r="I118" s="26" t="n"/>
      <c r="J118" s="26" t="n"/>
      <c r="K118" s="26" t="n"/>
    </row>
    <row r="119">
      <c r="A119" s="27" t="n"/>
      <c r="B119" s="25" t="n"/>
      <c r="C119" s="25" t="n"/>
      <c r="D119" s="25" t="n"/>
      <c r="E119" s="25" t="n"/>
      <c r="F119" s="36" t="n"/>
      <c r="G119" s="36" t="n"/>
      <c r="H119" s="26" t="n"/>
      <c r="I119" s="26" t="n"/>
      <c r="J119" s="26" t="n"/>
      <c r="K119" s="26" t="n"/>
    </row>
    <row r="120">
      <c r="A120" s="27" t="n"/>
      <c r="B120" s="25" t="n"/>
      <c r="C120" s="25" t="n"/>
      <c r="D120" s="25" t="n"/>
      <c r="E120" s="25" t="n"/>
      <c r="F120" s="36" t="n"/>
      <c r="G120" s="36" t="n"/>
      <c r="H120" s="26" t="n"/>
      <c r="I120" s="26" t="n"/>
      <c r="J120" s="26" t="n"/>
      <c r="K120" s="26" t="n"/>
    </row>
    <row r="121">
      <c r="A121" s="27" t="n"/>
      <c r="B121" s="25" t="n"/>
      <c r="C121" s="25" t="n"/>
      <c r="D121" s="25" t="n"/>
      <c r="E121" s="25" t="n"/>
      <c r="F121" s="36" t="n"/>
      <c r="G121" s="36" t="n"/>
      <c r="H121" s="26" t="n"/>
      <c r="I121" s="26" t="n"/>
      <c r="J121" s="26" t="n"/>
      <c r="K121" s="26" t="n"/>
    </row>
    <row r="122">
      <c r="A122" s="27" t="n"/>
      <c r="B122" s="25" t="n"/>
      <c r="C122" s="25" t="n"/>
      <c r="D122" s="25" t="n"/>
      <c r="E122" s="25" t="n"/>
      <c r="F122" s="36" t="n"/>
      <c r="G122" s="36" t="n"/>
      <c r="H122" s="26" t="n"/>
      <c r="I122" s="26" t="n"/>
      <c r="J122" s="26" t="n"/>
      <c r="K122" s="26" t="n"/>
    </row>
    <row r="123">
      <c r="A123" s="27" t="n"/>
      <c r="B123" s="25" t="n"/>
      <c r="C123" s="25" t="n"/>
      <c r="D123" s="25" t="n"/>
      <c r="E123" s="25" t="n"/>
      <c r="F123" s="36" t="n"/>
      <c r="G123" s="36" t="n"/>
      <c r="H123" s="26" t="n"/>
      <c r="I123" s="26" t="n"/>
      <c r="J123" s="26" t="n"/>
      <c r="K123" s="26" t="n"/>
    </row>
    <row r="124">
      <c r="A124" s="27" t="n"/>
      <c r="B124" s="25" t="n"/>
      <c r="C124" s="25" t="n"/>
      <c r="D124" s="25" t="n"/>
      <c r="E124" s="25" t="n"/>
      <c r="F124" s="36" t="n"/>
      <c r="G124" s="36" t="n"/>
      <c r="H124" s="26" t="n"/>
      <c r="I124" s="26" t="n"/>
      <c r="J124" s="26" t="n"/>
      <c r="K124" s="26" t="n"/>
    </row>
    <row r="125">
      <c r="A125" s="27" t="n"/>
      <c r="B125" s="25" t="n"/>
      <c r="C125" s="25" t="n"/>
      <c r="D125" s="25" t="n"/>
      <c r="E125" s="25" t="n"/>
      <c r="F125" s="36" t="n"/>
      <c r="G125" s="36" t="n"/>
      <c r="H125" s="26" t="n"/>
      <c r="I125" s="26" t="n"/>
      <c r="J125" s="26" t="n"/>
      <c r="K125" s="26" t="n"/>
    </row>
    <row r="126">
      <c r="A126" s="27" t="n"/>
      <c r="B126" s="25" t="n"/>
      <c r="C126" s="25" t="n"/>
      <c r="D126" s="25" t="n"/>
      <c r="E126" s="25" t="n"/>
      <c r="F126" s="36" t="n"/>
      <c r="G126" s="36" t="n"/>
      <c r="H126" s="26" t="n"/>
      <c r="I126" s="26" t="n"/>
      <c r="J126" s="26" t="n"/>
      <c r="K126" s="26" t="n"/>
    </row>
    <row r="127">
      <c r="A127" s="27" t="n"/>
      <c r="B127" s="25" t="n"/>
      <c r="C127" s="25" t="n"/>
      <c r="D127" s="25" t="n"/>
      <c r="E127" s="25" t="n"/>
      <c r="F127" s="36" t="n"/>
      <c r="G127" s="36" t="n"/>
      <c r="H127" s="26" t="n"/>
      <c r="I127" s="26" t="n"/>
      <c r="J127" s="26" t="n"/>
      <c r="K127" s="26" t="n"/>
    </row>
    <row r="128">
      <c r="A128" s="27" t="n"/>
      <c r="B128" s="25" t="n"/>
      <c r="C128" s="25" t="n"/>
      <c r="D128" s="25" t="n"/>
      <c r="E128" s="25" t="n"/>
      <c r="F128" s="36" t="n"/>
      <c r="G128" s="36" t="n"/>
      <c r="H128" s="26" t="n"/>
      <c r="I128" s="26" t="n"/>
      <c r="J128" s="26" t="n"/>
      <c r="K128" s="26" t="n"/>
    </row>
    <row r="129">
      <c r="A129" s="27" t="n"/>
      <c r="B129" s="25" t="n"/>
      <c r="C129" s="25" t="n"/>
      <c r="D129" s="25" t="n"/>
      <c r="E129" s="25" t="n"/>
      <c r="F129" s="36" t="n"/>
      <c r="G129" s="36" t="n"/>
      <c r="H129" s="26" t="n"/>
      <c r="I129" s="26" t="n"/>
      <c r="J129" s="26" t="n"/>
      <c r="K129" s="26" t="n"/>
    </row>
    <row r="130">
      <c r="A130" s="27" t="n"/>
      <c r="B130" s="25" t="n"/>
      <c r="C130" s="25" t="n"/>
      <c r="D130" s="25" t="n"/>
      <c r="E130" s="25" t="n"/>
      <c r="F130" s="36" t="n"/>
      <c r="G130" s="36" t="n"/>
      <c r="H130" s="26" t="n"/>
      <c r="I130" s="26" t="n"/>
      <c r="J130" s="26" t="n"/>
      <c r="K130" s="26" t="n"/>
    </row>
    <row r="131">
      <c r="A131" s="27" t="n"/>
      <c r="B131" s="25" t="n"/>
      <c r="C131" s="25" t="n"/>
      <c r="D131" s="25" t="n"/>
      <c r="E131" s="25" t="n"/>
      <c r="F131" s="36" t="n"/>
      <c r="G131" s="36" t="n"/>
      <c r="H131" s="26" t="n"/>
      <c r="I131" s="26" t="n"/>
      <c r="J131" s="26" t="n"/>
      <c r="K131" s="26" t="n"/>
    </row>
    <row r="132">
      <c r="A132" s="27" t="n"/>
      <c r="B132" s="25" t="n"/>
      <c r="C132" s="25" t="n"/>
      <c r="D132" s="25" t="n"/>
      <c r="E132" s="25" t="n"/>
      <c r="F132" s="36" t="n"/>
      <c r="G132" s="36" t="n"/>
      <c r="H132" s="26" t="n"/>
      <c r="I132" s="26" t="n"/>
      <c r="J132" s="26" t="n"/>
      <c r="K132" s="26" t="n"/>
    </row>
    <row r="133">
      <c r="A133" s="27" t="n"/>
      <c r="B133" s="25" t="n"/>
      <c r="C133" s="25" t="n"/>
      <c r="D133" s="25" t="n"/>
      <c r="E133" s="25" t="n"/>
      <c r="F133" s="36" t="n"/>
      <c r="G133" s="36" t="n"/>
      <c r="H133" s="26" t="n"/>
      <c r="I133" s="26" t="n"/>
      <c r="J133" s="26" t="n"/>
      <c r="K133" s="26" t="n"/>
    </row>
    <row r="134">
      <c r="A134" s="27" t="n"/>
      <c r="B134" s="25" t="n"/>
      <c r="C134" s="25" t="n"/>
      <c r="D134" s="25" t="n"/>
      <c r="E134" s="25" t="n"/>
      <c r="F134" s="36" t="n"/>
      <c r="G134" s="36" t="n"/>
      <c r="H134" s="26" t="n"/>
      <c r="I134" s="26" t="n"/>
      <c r="J134" s="26" t="n"/>
      <c r="K134" s="26" t="n"/>
    </row>
    <row r="135">
      <c r="A135" s="27" t="n"/>
      <c r="B135" s="25" t="n"/>
      <c r="C135" s="25" t="n"/>
      <c r="D135" s="25" t="n"/>
      <c r="E135" s="25" t="n"/>
      <c r="F135" s="36" t="n"/>
      <c r="G135" s="36" t="n"/>
      <c r="H135" s="26" t="n"/>
      <c r="I135" s="26" t="n"/>
      <c r="J135" s="26" t="n"/>
      <c r="K135" s="26" t="n"/>
    </row>
    <row r="136">
      <c r="A136" s="27" t="n"/>
      <c r="B136" s="25" t="n"/>
      <c r="C136" s="25" t="n"/>
      <c r="D136" s="25" t="n"/>
      <c r="E136" s="25" t="n"/>
      <c r="F136" s="36" t="n"/>
      <c r="G136" s="36" t="n"/>
      <c r="H136" s="26" t="n"/>
      <c r="I136" s="26" t="n"/>
      <c r="J136" s="26" t="n"/>
      <c r="K136" s="26" t="n"/>
    </row>
    <row r="137">
      <c r="A137" s="27" t="n"/>
      <c r="B137" s="25" t="n"/>
      <c r="C137" s="25" t="n"/>
      <c r="D137" s="25" t="n"/>
      <c r="E137" s="25" t="n"/>
      <c r="F137" s="36" t="n"/>
      <c r="G137" s="36" t="n"/>
      <c r="H137" s="26" t="n"/>
      <c r="I137" s="26" t="n"/>
      <c r="J137" s="26" t="n"/>
      <c r="K137" s="26" t="n"/>
    </row>
    <row r="138">
      <c r="A138" s="27" t="n"/>
      <c r="B138" s="25" t="n"/>
      <c r="C138" s="25" t="n"/>
      <c r="D138" s="25" t="n"/>
      <c r="E138" s="25" t="n"/>
      <c r="F138" s="36" t="n"/>
      <c r="G138" s="36" t="n"/>
      <c r="H138" s="26" t="n"/>
      <c r="I138" s="26" t="n"/>
      <c r="J138" s="26" t="n"/>
      <c r="K138" s="26" t="n"/>
    </row>
    <row r="139">
      <c r="A139" s="27" t="n"/>
      <c r="B139" s="25" t="n"/>
      <c r="C139" s="25" t="n"/>
      <c r="D139" s="25" t="n"/>
      <c r="E139" s="25" t="n"/>
      <c r="F139" s="36" t="n"/>
      <c r="G139" s="36" t="n"/>
      <c r="H139" s="26" t="n"/>
      <c r="I139" s="26" t="n"/>
      <c r="J139" s="26" t="n"/>
      <c r="K139" s="26" t="n"/>
    </row>
    <row r="140">
      <c r="A140" s="27" t="n"/>
      <c r="B140" s="25" t="n"/>
      <c r="C140" s="25" t="n"/>
      <c r="D140" s="25" t="n"/>
      <c r="E140" s="25" t="n"/>
      <c r="F140" s="36" t="n"/>
      <c r="G140" s="36" t="n"/>
      <c r="H140" s="26" t="n"/>
      <c r="I140" s="26" t="n"/>
      <c r="J140" s="26" t="n"/>
      <c r="K140" s="26" t="n"/>
    </row>
    <row r="141">
      <c r="A141" s="27" t="n"/>
      <c r="B141" s="25" t="n"/>
      <c r="C141" s="25" t="n"/>
      <c r="D141" s="25" t="n"/>
      <c r="E141" s="25" t="n"/>
      <c r="F141" s="36" t="n"/>
      <c r="G141" s="36" t="n"/>
      <c r="H141" s="26" t="n"/>
      <c r="I141" s="26" t="n"/>
      <c r="J141" s="26" t="n"/>
      <c r="K141" s="26" t="n"/>
    </row>
    <row r="142">
      <c r="A142" s="27" t="n"/>
      <c r="B142" s="25" t="n"/>
      <c r="C142" s="25" t="n"/>
      <c r="D142" s="25" t="n"/>
      <c r="E142" s="25" t="n"/>
      <c r="F142" s="36" t="n"/>
      <c r="G142" s="36" t="n"/>
      <c r="H142" s="26" t="n"/>
      <c r="I142" s="26" t="n"/>
      <c r="J142" s="26" t="n"/>
      <c r="K142" s="26" t="n"/>
    </row>
    <row r="143">
      <c r="A143" s="27" t="n"/>
      <c r="B143" s="25" t="n"/>
      <c r="C143" s="25" t="n"/>
      <c r="D143" s="25" t="n"/>
      <c r="E143" s="25" t="n"/>
      <c r="F143" s="36" t="n"/>
      <c r="G143" s="36" t="n"/>
      <c r="H143" s="26" t="n"/>
      <c r="I143" s="26" t="n"/>
      <c r="J143" s="26" t="n"/>
      <c r="K143" s="26" t="n"/>
    </row>
    <row r="144">
      <c r="A144" s="27" t="n"/>
      <c r="B144" s="25" t="n"/>
      <c r="C144" s="25" t="n"/>
      <c r="D144" s="25" t="n"/>
      <c r="E144" s="25" t="n"/>
      <c r="F144" s="36" t="n"/>
      <c r="G144" s="36" t="n"/>
      <c r="H144" s="26" t="n"/>
      <c r="I144" s="26" t="n"/>
      <c r="J144" s="26" t="n"/>
      <c r="K144" s="26" t="n"/>
    </row>
    <row r="145">
      <c r="A145" s="27" t="n"/>
      <c r="B145" s="25" t="n"/>
      <c r="C145" s="25" t="n"/>
      <c r="D145" s="25" t="n"/>
      <c r="E145" s="25" t="n"/>
      <c r="F145" s="36" t="n"/>
      <c r="G145" s="36" t="n"/>
      <c r="H145" s="26" t="n"/>
      <c r="I145" s="26" t="n"/>
      <c r="J145" s="26" t="n"/>
      <c r="K145" s="26" t="n"/>
    </row>
    <row r="146">
      <c r="A146" s="27" t="n"/>
      <c r="B146" s="25" t="n"/>
      <c r="C146" s="25" t="n"/>
      <c r="D146" s="25" t="n"/>
      <c r="E146" s="25" t="n"/>
      <c r="F146" s="36" t="n"/>
      <c r="G146" s="36" t="n"/>
      <c r="H146" s="26" t="n"/>
      <c r="I146" s="26" t="n"/>
      <c r="J146" s="26" t="n"/>
      <c r="K146" s="26" t="n"/>
    </row>
    <row r="147">
      <c r="A147" s="27" t="n"/>
      <c r="B147" s="25" t="n"/>
      <c r="C147" s="25" t="n"/>
      <c r="D147" s="25" t="n"/>
      <c r="E147" s="25" t="n"/>
      <c r="F147" s="36" t="n"/>
      <c r="G147" s="36" t="n"/>
      <c r="H147" s="26" t="n"/>
      <c r="I147" s="26" t="n"/>
      <c r="J147" s="26" t="n"/>
      <c r="K147" s="26" t="n"/>
    </row>
    <row r="148">
      <c r="A148" s="27" t="n"/>
      <c r="B148" s="25" t="n"/>
      <c r="C148" s="25" t="n"/>
      <c r="D148" s="25" t="n"/>
      <c r="E148" s="25" t="n"/>
      <c r="F148" s="36" t="n"/>
      <c r="G148" s="36" t="n"/>
      <c r="H148" s="26" t="n"/>
      <c r="I148" s="26" t="n"/>
      <c r="J148" s="26" t="n"/>
      <c r="K148" s="26" t="n"/>
    </row>
    <row r="149">
      <c r="A149" s="27" t="n"/>
      <c r="B149" s="25" t="n"/>
      <c r="C149" s="25" t="n"/>
      <c r="D149" s="25" t="n"/>
      <c r="E149" s="25" t="n"/>
      <c r="F149" s="36" t="n"/>
      <c r="G149" s="36" t="n"/>
      <c r="H149" s="26" t="n"/>
      <c r="I149" s="26" t="n"/>
      <c r="J149" s="26" t="n"/>
      <c r="K149" s="26" t="n"/>
    </row>
    <row r="150">
      <c r="A150" s="27" t="n"/>
      <c r="B150" s="25" t="n"/>
      <c r="C150" s="25" t="n"/>
      <c r="D150" s="25" t="n"/>
      <c r="E150" s="25" t="n"/>
      <c r="F150" s="36" t="n"/>
      <c r="G150" s="36" t="n"/>
      <c r="H150" s="26" t="n"/>
      <c r="I150" s="26" t="n"/>
      <c r="J150" s="26" t="n"/>
      <c r="K150" s="26" t="n"/>
    </row>
    <row r="151">
      <c r="A151" s="27" t="n"/>
      <c r="B151" s="25" t="n"/>
      <c r="C151" s="25" t="n"/>
      <c r="D151" s="25" t="n"/>
      <c r="E151" s="25" t="n"/>
      <c r="F151" s="36" t="n"/>
      <c r="G151" s="36" t="n"/>
      <c r="H151" s="26" t="n"/>
      <c r="I151" s="26" t="n"/>
      <c r="J151" s="26" t="n"/>
      <c r="K151" s="26" t="n"/>
    </row>
    <row r="152">
      <c r="A152" s="27" t="n"/>
      <c r="B152" s="25" t="n"/>
      <c r="C152" s="25" t="n"/>
      <c r="D152" s="25" t="n"/>
      <c r="E152" s="25" t="n"/>
      <c r="F152" s="36" t="n"/>
      <c r="G152" s="36" t="n"/>
      <c r="H152" s="26" t="n"/>
      <c r="I152" s="26" t="n"/>
      <c r="J152" s="26" t="n"/>
      <c r="K152" s="26" t="n"/>
    </row>
    <row r="153">
      <c r="A153" s="27" t="n"/>
      <c r="B153" s="25" t="n"/>
      <c r="C153" s="25" t="n"/>
      <c r="D153" s="25" t="n"/>
      <c r="E153" s="25" t="n"/>
      <c r="F153" s="36" t="n"/>
      <c r="G153" s="36" t="n"/>
      <c r="H153" s="26" t="n"/>
      <c r="I153" s="26" t="n"/>
      <c r="J153" s="26" t="n"/>
      <c r="K153" s="26" t="n"/>
    </row>
    <row r="154">
      <c r="A154" s="27" t="n"/>
      <c r="B154" s="25" t="n"/>
      <c r="C154" s="25" t="n"/>
      <c r="D154" s="25" t="n"/>
      <c r="E154" s="25" t="n"/>
      <c r="F154" s="36" t="n"/>
      <c r="G154" s="36" t="n"/>
      <c r="H154" s="26" t="n"/>
      <c r="I154" s="26" t="n"/>
      <c r="J154" s="26" t="n"/>
      <c r="K154" s="2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7B6"/>
  <autoFilter ref="A4:K154"/>
  <mergeCells count="3">
    <mergeCell ref="A1:B2"/>
    <mergeCell ref="C2:K2"/>
    <mergeCell ref="C1:K1"/>
  </mergeCells>
  <conditionalFormatting sqref="D5:D154">
    <cfRule type="cellIs" priority="1" operator="equal" dxfId="5">
      <formula>"Fait"</formula>
    </cfRule>
    <cfRule type="expression" priority="2" dxfId="0">
      <formula>AND($D5="En attente",$A5&lt;TODAY(),$A5&lt;&gt;"")</formula>
    </cfRule>
  </conditionalFormatting>
  <dataValidations count="2">
    <dataValidation sqref="B5:B154" showDropDown="0" showInputMessage="0" showErrorMessage="0" allowBlank="1" type="list">
      <formula1>=Liste_Biens</formula1>
    </dataValidation>
    <dataValidation sqref="D5:D154" showDropDown="0" showInputMessage="0" showErrorMessage="0" allowBlank="1" type="list">
      <formula1>=Liste_StatutMenage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D4AF37"/>
    <outlinePr summaryBelow="1" summaryRight="1"/>
    <pageSetUpPr/>
  </sheetPr>
  <dimension ref="A1:J104"/>
  <sheetViews>
    <sheetView showGridLines="0" tabSelected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6" customWidth="1" min="3" max="3"/>
    <col width="11" customWidth="1" min="4" max="4"/>
    <col width="11" customWidth="1" min="5" max="5"/>
    <col width="14" customWidth="1" min="6" max="6"/>
    <col width="14" customWidth="1" min="7" max="7"/>
    <col width="14" customWidth="1" min="8" max="8"/>
    <col width="11" customWidth="1" min="9" max="9"/>
    <col width="22" customWidth="1" min="10" max="10"/>
  </cols>
  <sheetData>
    <row r="1" ht="30" customHeight="1">
      <c r="A1" s="1" t="inlineStr">
        <is>
          <t>MG
HÔTE</t>
        </is>
      </c>
      <c r="C1" s="2" t="inlineStr">
        <is>
          <t>SUIVI MAINTENANCE</t>
        </is>
      </c>
    </row>
    <row r="2" ht="20" customHeight="1">
      <c r="C2" s="3" t="inlineStr">
        <is>
          <t>Incidents, priorité et résolution</t>
        </is>
      </c>
    </row>
    <row r="3" ht="6" customHeight="1"/>
    <row r="4" ht="32" customHeight="1">
      <c r="A4" s="9" t="inlineStr">
        <is>
          <t>Date signalement</t>
        </is>
      </c>
      <c r="B4" s="9" t="inlineStr">
        <is>
          <t>Bien</t>
        </is>
      </c>
      <c r="C4" s="9" t="inlineStr">
        <is>
          <t>Incident</t>
        </is>
      </c>
      <c r="D4" s="9" t="inlineStr">
        <is>
          <t>Priorité</t>
        </is>
      </c>
      <c r="E4" s="9" t="inlineStr">
        <is>
          <t>Statut</t>
        </is>
      </c>
      <c r="F4" s="9" t="inlineStr">
        <is>
          <t>Responsable</t>
        </is>
      </c>
      <c r="G4" s="9" t="inlineStr">
        <is>
          <t>Date résolution prévue</t>
        </is>
      </c>
      <c r="H4" s="9" t="inlineStr">
        <is>
          <t>Date résolution réelle</t>
        </is>
      </c>
      <c r="I4" s="9" t="inlineStr">
        <is>
          <t>Coût (MAD)</t>
        </is>
      </c>
      <c r="J4" s="9" t="inlineStr">
        <is>
          <t>Notes</t>
        </is>
      </c>
    </row>
    <row r="5">
      <c r="A5" s="27" t="n"/>
      <c r="B5" s="25" t="n"/>
      <c r="C5" s="26" t="n"/>
      <c r="D5" s="25" t="n"/>
      <c r="E5" s="25" t="n"/>
      <c r="F5" s="25" t="n"/>
      <c r="G5" s="27" t="n"/>
      <c r="H5" s="27" t="n"/>
      <c r="I5" s="30" t="n"/>
      <c r="J5" s="26" t="n"/>
    </row>
    <row r="6">
      <c r="A6" s="27" t="n"/>
      <c r="B6" s="25" t="n"/>
      <c r="C6" s="26" t="n"/>
      <c r="D6" s="25" t="n"/>
      <c r="E6" s="25" t="n"/>
      <c r="F6" s="25" t="n"/>
      <c r="G6" s="27" t="n"/>
      <c r="H6" s="27" t="n"/>
      <c r="I6" s="30" t="n"/>
      <c r="J6" s="26" t="n"/>
    </row>
    <row r="7">
      <c r="A7" s="27" t="n"/>
      <c r="B7" s="25" t="n"/>
      <c r="C7" s="26" t="n"/>
      <c r="D7" s="25" t="n"/>
      <c r="E7" s="25" t="n"/>
      <c r="F7" s="25" t="n"/>
      <c r="G7" s="27" t="n"/>
      <c r="H7" s="27" t="n"/>
      <c r="I7" s="30" t="n"/>
      <c r="J7" s="26" t="n"/>
    </row>
    <row r="8">
      <c r="A8" s="27" t="n"/>
      <c r="B8" s="25" t="n"/>
      <c r="C8" s="26" t="n"/>
      <c r="D8" s="25" t="n"/>
      <c r="E8" s="25" t="n"/>
      <c r="F8" s="25" t="n"/>
      <c r="G8" s="27" t="n"/>
      <c r="H8" s="27" t="n"/>
      <c r="I8" s="30" t="n"/>
      <c r="J8" s="26" t="n"/>
    </row>
    <row r="9">
      <c r="A9" s="27" t="n"/>
      <c r="B9" s="25" t="n"/>
      <c r="C9" s="26" t="n"/>
      <c r="D9" s="25" t="n"/>
      <c r="E9" s="25" t="n"/>
      <c r="F9" s="25" t="n"/>
      <c r="G9" s="27" t="n"/>
      <c r="H9" s="27" t="n"/>
      <c r="I9" s="30" t="n"/>
      <c r="J9" s="26" t="n"/>
    </row>
    <row r="10">
      <c r="A10" s="27" t="n"/>
      <c r="B10" s="25" t="n"/>
      <c r="C10" s="26" t="n"/>
      <c r="D10" s="25" t="n"/>
      <c r="E10" s="25" t="n"/>
      <c r="F10" s="25" t="n"/>
      <c r="G10" s="27" t="n"/>
      <c r="H10" s="27" t="n"/>
      <c r="I10" s="30" t="n"/>
      <c r="J10" s="26" t="n"/>
    </row>
    <row r="11">
      <c r="A11" s="27" t="n"/>
      <c r="B11" s="25" t="n"/>
      <c r="C11" s="26" t="n"/>
      <c r="D11" s="25" t="n"/>
      <c r="E11" s="25" t="n"/>
      <c r="F11" s="25" t="n"/>
      <c r="G11" s="27" t="n"/>
      <c r="H11" s="27" t="n"/>
      <c r="I11" s="30" t="n"/>
      <c r="J11" s="26" t="n"/>
    </row>
    <row r="12">
      <c r="A12" s="27" t="n"/>
      <c r="B12" s="25" t="n"/>
      <c r="C12" s="26" t="n"/>
      <c r="D12" s="25" t="n"/>
      <c r="E12" s="25" t="n"/>
      <c r="F12" s="25" t="n"/>
      <c r="G12" s="27" t="n"/>
      <c r="H12" s="27" t="n"/>
      <c r="I12" s="30" t="n"/>
      <c r="J12" s="26" t="n"/>
    </row>
    <row r="13">
      <c r="A13" s="27" t="n"/>
      <c r="B13" s="25" t="n"/>
      <c r="C13" s="26" t="n"/>
      <c r="D13" s="25" t="n"/>
      <c r="E13" s="25" t="n"/>
      <c r="F13" s="25" t="n"/>
      <c r="G13" s="27" t="n"/>
      <c r="H13" s="27" t="n"/>
      <c r="I13" s="30" t="n"/>
      <c r="J13" s="26" t="n"/>
    </row>
    <row r="14">
      <c r="A14" s="27" t="n"/>
      <c r="B14" s="25" t="n"/>
      <c r="C14" s="26" t="n"/>
      <c r="D14" s="25" t="n"/>
      <c r="E14" s="25" t="n"/>
      <c r="F14" s="25" t="n"/>
      <c r="G14" s="27" t="n"/>
      <c r="H14" s="27" t="n"/>
      <c r="I14" s="30" t="n"/>
      <c r="J14" s="26" t="n"/>
    </row>
    <row r="15">
      <c r="A15" s="27" t="n"/>
      <c r="B15" s="25" t="n"/>
      <c r="C15" s="26" t="n"/>
      <c r="D15" s="25" t="n"/>
      <c r="E15" s="25" t="n"/>
      <c r="F15" s="25" t="n"/>
      <c r="G15" s="27" t="n"/>
      <c r="H15" s="27" t="n"/>
      <c r="I15" s="30" t="n"/>
      <c r="J15" s="26" t="n"/>
    </row>
    <row r="16">
      <c r="A16" s="27" t="n"/>
      <c r="B16" s="25" t="n"/>
      <c r="C16" s="26" t="n"/>
      <c r="D16" s="25" t="n"/>
      <c r="E16" s="25" t="n"/>
      <c r="F16" s="25" t="n"/>
      <c r="G16" s="27" t="n"/>
      <c r="H16" s="27" t="n"/>
      <c r="I16" s="30" t="n"/>
      <c r="J16" s="26" t="n"/>
    </row>
    <row r="17">
      <c r="A17" s="27" t="n"/>
      <c r="B17" s="25" t="n"/>
      <c r="C17" s="26" t="n"/>
      <c r="D17" s="25" t="n"/>
      <c r="E17" s="25" t="n"/>
      <c r="F17" s="25" t="n"/>
      <c r="G17" s="27" t="n"/>
      <c r="H17" s="27" t="n"/>
      <c r="I17" s="30" t="n"/>
      <c r="J17" s="26" t="n"/>
    </row>
    <row r="18">
      <c r="A18" s="27" t="n"/>
      <c r="B18" s="25" t="n"/>
      <c r="C18" s="26" t="n"/>
      <c r="D18" s="25" t="n"/>
      <c r="E18" s="25" t="n"/>
      <c r="F18" s="25" t="n"/>
      <c r="G18" s="27" t="n"/>
      <c r="H18" s="27" t="n"/>
      <c r="I18" s="30" t="n"/>
      <c r="J18" s="26" t="n"/>
    </row>
    <row r="19">
      <c r="A19" s="27" t="n"/>
      <c r="B19" s="25" t="n"/>
      <c r="C19" s="26" t="n"/>
      <c r="D19" s="25" t="n"/>
      <c r="E19" s="25" t="n"/>
      <c r="F19" s="25" t="n"/>
      <c r="G19" s="27" t="n"/>
      <c r="H19" s="27" t="n"/>
      <c r="I19" s="30" t="n"/>
      <c r="J19" s="26" t="n"/>
    </row>
    <row r="20">
      <c r="A20" s="27" t="n"/>
      <c r="B20" s="25" t="n"/>
      <c r="C20" s="26" t="n"/>
      <c r="D20" s="25" t="n"/>
      <c r="E20" s="25" t="n"/>
      <c r="F20" s="25" t="n"/>
      <c r="G20" s="27" t="n"/>
      <c r="H20" s="27" t="n"/>
      <c r="I20" s="30" t="n"/>
      <c r="J20" s="26" t="n"/>
    </row>
    <row r="21">
      <c r="A21" s="27" t="n"/>
      <c r="B21" s="25" t="n"/>
      <c r="C21" s="26" t="n"/>
      <c r="D21" s="25" t="n"/>
      <c r="E21" s="25" t="n"/>
      <c r="F21" s="25" t="n"/>
      <c r="G21" s="27" t="n"/>
      <c r="H21" s="27" t="n"/>
      <c r="I21" s="30" t="n"/>
      <c r="J21" s="26" t="n"/>
    </row>
    <row r="22">
      <c r="A22" s="27" t="n"/>
      <c r="B22" s="25" t="n"/>
      <c r="C22" s="26" t="n"/>
      <c r="D22" s="25" t="n"/>
      <c r="E22" s="25" t="n"/>
      <c r="F22" s="25" t="n"/>
      <c r="G22" s="27" t="n"/>
      <c r="H22" s="27" t="n"/>
      <c r="I22" s="30" t="n"/>
      <c r="J22" s="26" t="n"/>
    </row>
    <row r="23">
      <c r="A23" s="27" t="n"/>
      <c r="B23" s="25" t="n"/>
      <c r="C23" s="26" t="n"/>
      <c r="D23" s="25" t="n"/>
      <c r="E23" s="25" t="n"/>
      <c r="F23" s="25" t="n"/>
      <c r="G23" s="27" t="n"/>
      <c r="H23" s="27" t="n"/>
      <c r="I23" s="30" t="n"/>
      <c r="J23" s="26" t="n"/>
    </row>
    <row r="24">
      <c r="A24" s="27" t="n"/>
      <c r="B24" s="25" t="n"/>
      <c r="C24" s="26" t="n"/>
      <c r="D24" s="25" t="n"/>
      <c r="E24" s="25" t="n"/>
      <c r="F24" s="25" t="n"/>
      <c r="G24" s="27" t="n"/>
      <c r="H24" s="27" t="n"/>
      <c r="I24" s="30" t="n"/>
      <c r="J24" s="26" t="n"/>
    </row>
    <row r="25">
      <c r="A25" s="27" t="n"/>
      <c r="B25" s="25" t="n"/>
      <c r="C25" s="26" t="n"/>
      <c r="D25" s="25" t="n"/>
      <c r="E25" s="25" t="n"/>
      <c r="F25" s="25" t="n"/>
      <c r="G25" s="27" t="n"/>
      <c r="H25" s="27" t="n"/>
      <c r="I25" s="30" t="n"/>
      <c r="J25" s="26" t="n"/>
    </row>
    <row r="26">
      <c r="A26" s="27" t="n"/>
      <c r="B26" s="25" t="n"/>
      <c r="C26" s="26" t="n"/>
      <c r="D26" s="25" t="n"/>
      <c r="E26" s="25" t="n"/>
      <c r="F26" s="25" t="n"/>
      <c r="G26" s="27" t="n"/>
      <c r="H26" s="27" t="n"/>
      <c r="I26" s="30" t="n"/>
      <c r="J26" s="26" t="n"/>
    </row>
    <row r="27">
      <c r="A27" s="27" t="n"/>
      <c r="B27" s="25" t="n"/>
      <c r="C27" s="26" t="n"/>
      <c r="D27" s="25" t="n"/>
      <c r="E27" s="25" t="n"/>
      <c r="F27" s="25" t="n"/>
      <c r="G27" s="27" t="n"/>
      <c r="H27" s="27" t="n"/>
      <c r="I27" s="30" t="n"/>
      <c r="J27" s="26" t="n"/>
    </row>
    <row r="28">
      <c r="A28" s="27" t="n"/>
      <c r="B28" s="25" t="n"/>
      <c r="C28" s="26" t="n"/>
      <c r="D28" s="25" t="n"/>
      <c r="E28" s="25" t="n"/>
      <c r="F28" s="25" t="n"/>
      <c r="G28" s="27" t="n"/>
      <c r="H28" s="27" t="n"/>
      <c r="I28" s="30" t="n"/>
      <c r="J28" s="26" t="n"/>
    </row>
    <row r="29">
      <c r="A29" s="27" t="n"/>
      <c r="B29" s="25" t="n"/>
      <c r="C29" s="26" t="n"/>
      <c r="D29" s="25" t="n"/>
      <c r="E29" s="25" t="n"/>
      <c r="F29" s="25" t="n"/>
      <c r="G29" s="27" t="n"/>
      <c r="H29" s="27" t="n"/>
      <c r="I29" s="30" t="n"/>
      <c r="J29" s="26" t="n"/>
    </row>
    <row r="30">
      <c r="A30" s="27" t="n"/>
      <c r="B30" s="25" t="n"/>
      <c r="C30" s="26" t="n"/>
      <c r="D30" s="25" t="n"/>
      <c r="E30" s="25" t="n"/>
      <c r="F30" s="25" t="n"/>
      <c r="G30" s="27" t="n"/>
      <c r="H30" s="27" t="n"/>
      <c r="I30" s="30" t="n"/>
      <c r="J30" s="26" t="n"/>
    </row>
    <row r="31">
      <c r="A31" s="27" t="n"/>
      <c r="B31" s="25" t="n"/>
      <c r="C31" s="26" t="n"/>
      <c r="D31" s="25" t="n"/>
      <c r="E31" s="25" t="n"/>
      <c r="F31" s="25" t="n"/>
      <c r="G31" s="27" t="n"/>
      <c r="H31" s="27" t="n"/>
      <c r="I31" s="30" t="n"/>
      <c r="J31" s="26" t="n"/>
    </row>
    <row r="32">
      <c r="A32" s="27" t="n"/>
      <c r="B32" s="25" t="n"/>
      <c r="C32" s="26" t="n"/>
      <c r="D32" s="25" t="n"/>
      <c r="E32" s="25" t="n"/>
      <c r="F32" s="25" t="n"/>
      <c r="G32" s="27" t="n"/>
      <c r="H32" s="27" t="n"/>
      <c r="I32" s="30" t="n"/>
      <c r="J32" s="26" t="n"/>
    </row>
    <row r="33">
      <c r="A33" s="27" t="n"/>
      <c r="B33" s="25" t="n"/>
      <c r="C33" s="26" t="n"/>
      <c r="D33" s="25" t="n"/>
      <c r="E33" s="25" t="n"/>
      <c r="F33" s="25" t="n"/>
      <c r="G33" s="27" t="n"/>
      <c r="H33" s="27" t="n"/>
      <c r="I33" s="30" t="n"/>
      <c r="J33" s="26" t="n"/>
    </row>
    <row r="34">
      <c r="A34" s="27" t="n"/>
      <c r="B34" s="25" t="n"/>
      <c r="C34" s="26" t="n"/>
      <c r="D34" s="25" t="n"/>
      <c r="E34" s="25" t="n"/>
      <c r="F34" s="25" t="n"/>
      <c r="G34" s="27" t="n"/>
      <c r="H34" s="27" t="n"/>
      <c r="I34" s="30" t="n"/>
      <c r="J34" s="26" t="n"/>
    </row>
    <row r="35">
      <c r="A35" s="27" t="n"/>
      <c r="B35" s="25" t="n"/>
      <c r="C35" s="26" t="n"/>
      <c r="D35" s="25" t="n"/>
      <c r="E35" s="25" t="n"/>
      <c r="F35" s="25" t="n"/>
      <c r="G35" s="27" t="n"/>
      <c r="H35" s="27" t="n"/>
      <c r="I35" s="30" t="n"/>
      <c r="J35" s="26" t="n"/>
    </row>
    <row r="36">
      <c r="A36" s="27" t="n"/>
      <c r="B36" s="25" t="n"/>
      <c r="C36" s="26" t="n"/>
      <c r="D36" s="25" t="n"/>
      <c r="E36" s="25" t="n"/>
      <c r="F36" s="25" t="n"/>
      <c r="G36" s="27" t="n"/>
      <c r="H36" s="27" t="n"/>
      <c r="I36" s="30" t="n"/>
      <c r="J36" s="26" t="n"/>
    </row>
    <row r="37">
      <c r="A37" s="27" t="n"/>
      <c r="B37" s="25" t="n"/>
      <c r="C37" s="26" t="n"/>
      <c r="D37" s="25" t="n"/>
      <c r="E37" s="25" t="n"/>
      <c r="F37" s="25" t="n"/>
      <c r="G37" s="27" t="n"/>
      <c r="H37" s="27" t="n"/>
      <c r="I37" s="30" t="n"/>
      <c r="J37" s="26" t="n"/>
    </row>
    <row r="38">
      <c r="A38" s="27" t="n"/>
      <c r="B38" s="25" t="n"/>
      <c r="C38" s="26" t="n"/>
      <c r="D38" s="25" t="n"/>
      <c r="E38" s="25" t="n"/>
      <c r="F38" s="25" t="n"/>
      <c r="G38" s="27" t="n"/>
      <c r="H38" s="27" t="n"/>
      <c r="I38" s="30" t="n"/>
      <c r="J38" s="26" t="n"/>
    </row>
    <row r="39">
      <c r="A39" s="27" t="n"/>
      <c r="B39" s="25" t="n"/>
      <c r="C39" s="26" t="n"/>
      <c r="D39" s="25" t="n"/>
      <c r="E39" s="25" t="n"/>
      <c r="F39" s="25" t="n"/>
      <c r="G39" s="27" t="n"/>
      <c r="H39" s="27" t="n"/>
      <c r="I39" s="30" t="n"/>
      <c r="J39" s="26" t="n"/>
    </row>
    <row r="40">
      <c r="A40" s="27" t="n"/>
      <c r="B40" s="25" t="n"/>
      <c r="C40" s="26" t="n"/>
      <c r="D40" s="25" t="n"/>
      <c r="E40" s="25" t="n"/>
      <c r="F40" s="25" t="n"/>
      <c r="G40" s="27" t="n"/>
      <c r="H40" s="27" t="n"/>
      <c r="I40" s="30" t="n"/>
      <c r="J40" s="26" t="n"/>
    </row>
    <row r="41">
      <c r="A41" s="27" t="n"/>
      <c r="B41" s="25" t="n"/>
      <c r="C41" s="26" t="n"/>
      <c r="D41" s="25" t="n"/>
      <c r="E41" s="25" t="n"/>
      <c r="F41" s="25" t="n"/>
      <c r="G41" s="27" t="n"/>
      <c r="H41" s="27" t="n"/>
      <c r="I41" s="30" t="n"/>
      <c r="J41" s="26" t="n"/>
    </row>
    <row r="42">
      <c r="A42" s="27" t="n"/>
      <c r="B42" s="25" t="n"/>
      <c r="C42" s="26" t="n"/>
      <c r="D42" s="25" t="n"/>
      <c r="E42" s="25" t="n"/>
      <c r="F42" s="25" t="n"/>
      <c r="G42" s="27" t="n"/>
      <c r="H42" s="27" t="n"/>
      <c r="I42" s="30" t="n"/>
      <c r="J42" s="26" t="n"/>
    </row>
    <row r="43">
      <c r="A43" s="27" t="n"/>
      <c r="B43" s="25" t="n"/>
      <c r="C43" s="26" t="n"/>
      <c r="D43" s="25" t="n"/>
      <c r="E43" s="25" t="n"/>
      <c r="F43" s="25" t="n"/>
      <c r="G43" s="27" t="n"/>
      <c r="H43" s="27" t="n"/>
      <c r="I43" s="30" t="n"/>
      <c r="J43" s="26" t="n"/>
    </row>
    <row r="44">
      <c r="A44" s="27" t="n"/>
      <c r="B44" s="25" t="n"/>
      <c r="C44" s="26" t="n"/>
      <c r="D44" s="25" t="n"/>
      <c r="E44" s="25" t="n"/>
      <c r="F44" s="25" t="n"/>
      <c r="G44" s="27" t="n"/>
      <c r="H44" s="27" t="n"/>
      <c r="I44" s="30" t="n"/>
      <c r="J44" s="26" t="n"/>
    </row>
    <row r="45">
      <c r="A45" s="27" t="n"/>
      <c r="B45" s="25" t="n"/>
      <c r="C45" s="26" t="n"/>
      <c r="D45" s="25" t="n"/>
      <c r="E45" s="25" t="n"/>
      <c r="F45" s="25" t="n"/>
      <c r="G45" s="27" t="n"/>
      <c r="H45" s="27" t="n"/>
      <c r="I45" s="30" t="n"/>
      <c r="J45" s="26" t="n"/>
    </row>
    <row r="46">
      <c r="A46" s="27" t="n"/>
      <c r="B46" s="25" t="n"/>
      <c r="C46" s="26" t="n"/>
      <c r="D46" s="25" t="n"/>
      <c r="E46" s="25" t="n"/>
      <c r="F46" s="25" t="n"/>
      <c r="G46" s="27" t="n"/>
      <c r="H46" s="27" t="n"/>
      <c r="I46" s="30" t="n"/>
      <c r="J46" s="26" t="n"/>
    </row>
    <row r="47">
      <c r="A47" s="27" t="n"/>
      <c r="B47" s="25" t="n"/>
      <c r="C47" s="26" t="n"/>
      <c r="D47" s="25" t="n"/>
      <c r="E47" s="25" t="n"/>
      <c r="F47" s="25" t="n"/>
      <c r="G47" s="27" t="n"/>
      <c r="H47" s="27" t="n"/>
      <c r="I47" s="30" t="n"/>
      <c r="J47" s="26" t="n"/>
    </row>
    <row r="48">
      <c r="A48" s="27" t="n"/>
      <c r="B48" s="25" t="n"/>
      <c r="C48" s="26" t="n"/>
      <c r="D48" s="25" t="n"/>
      <c r="E48" s="25" t="n"/>
      <c r="F48" s="25" t="n"/>
      <c r="G48" s="27" t="n"/>
      <c r="H48" s="27" t="n"/>
      <c r="I48" s="30" t="n"/>
      <c r="J48" s="26" t="n"/>
    </row>
    <row r="49">
      <c r="A49" s="27" t="n"/>
      <c r="B49" s="25" t="n"/>
      <c r="C49" s="26" t="n"/>
      <c r="D49" s="25" t="n"/>
      <c r="E49" s="25" t="n"/>
      <c r="F49" s="25" t="n"/>
      <c r="G49" s="27" t="n"/>
      <c r="H49" s="27" t="n"/>
      <c r="I49" s="30" t="n"/>
      <c r="J49" s="26" t="n"/>
    </row>
    <row r="50">
      <c r="A50" s="27" t="n"/>
      <c r="B50" s="25" t="n"/>
      <c r="C50" s="26" t="n"/>
      <c r="D50" s="25" t="n"/>
      <c r="E50" s="25" t="n"/>
      <c r="F50" s="25" t="n"/>
      <c r="G50" s="27" t="n"/>
      <c r="H50" s="27" t="n"/>
      <c r="I50" s="30" t="n"/>
      <c r="J50" s="26" t="n"/>
    </row>
    <row r="51">
      <c r="A51" s="27" t="n"/>
      <c r="B51" s="25" t="n"/>
      <c r="C51" s="26" t="n"/>
      <c r="D51" s="25" t="n"/>
      <c r="E51" s="25" t="n"/>
      <c r="F51" s="25" t="n"/>
      <c r="G51" s="27" t="n"/>
      <c r="H51" s="27" t="n"/>
      <c r="I51" s="30" t="n"/>
      <c r="J51" s="26" t="n"/>
    </row>
    <row r="52">
      <c r="A52" s="27" t="n"/>
      <c r="B52" s="25" t="n"/>
      <c r="C52" s="26" t="n"/>
      <c r="D52" s="25" t="n"/>
      <c r="E52" s="25" t="n"/>
      <c r="F52" s="25" t="n"/>
      <c r="G52" s="27" t="n"/>
      <c r="H52" s="27" t="n"/>
      <c r="I52" s="30" t="n"/>
      <c r="J52" s="26" t="n"/>
    </row>
    <row r="53">
      <c r="A53" s="27" t="n"/>
      <c r="B53" s="25" t="n"/>
      <c r="C53" s="26" t="n"/>
      <c r="D53" s="25" t="n"/>
      <c r="E53" s="25" t="n"/>
      <c r="F53" s="25" t="n"/>
      <c r="G53" s="27" t="n"/>
      <c r="H53" s="27" t="n"/>
      <c r="I53" s="30" t="n"/>
      <c r="J53" s="26" t="n"/>
    </row>
    <row r="54">
      <c r="A54" s="27" t="n"/>
      <c r="B54" s="25" t="n"/>
      <c r="C54" s="26" t="n"/>
      <c r="D54" s="25" t="n"/>
      <c r="E54" s="25" t="n"/>
      <c r="F54" s="25" t="n"/>
      <c r="G54" s="27" t="n"/>
      <c r="H54" s="27" t="n"/>
      <c r="I54" s="30" t="n"/>
      <c r="J54" s="26" t="n"/>
    </row>
    <row r="55">
      <c r="A55" s="27" t="n"/>
      <c r="B55" s="25" t="n"/>
      <c r="C55" s="26" t="n"/>
      <c r="D55" s="25" t="n"/>
      <c r="E55" s="25" t="n"/>
      <c r="F55" s="25" t="n"/>
      <c r="G55" s="27" t="n"/>
      <c r="H55" s="27" t="n"/>
      <c r="I55" s="30" t="n"/>
      <c r="J55" s="26" t="n"/>
    </row>
    <row r="56">
      <c r="A56" s="27" t="n"/>
      <c r="B56" s="25" t="n"/>
      <c r="C56" s="26" t="n"/>
      <c r="D56" s="25" t="n"/>
      <c r="E56" s="25" t="n"/>
      <c r="F56" s="25" t="n"/>
      <c r="G56" s="27" t="n"/>
      <c r="H56" s="27" t="n"/>
      <c r="I56" s="30" t="n"/>
      <c r="J56" s="26" t="n"/>
    </row>
    <row r="57">
      <c r="A57" s="27" t="n"/>
      <c r="B57" s="25" t="n"/>
      <c r="C57" s="26" t="n"/>
      <c r="D57" s="25" t="n"/>
      <c r="E57" s="25" t="n"/>
      <c r="F57" s="25" t="n"/>
      <c r="G57" s="27" t="n"/>
      <c r="H57" s="27" t="n"/>
      <c r="I57" s="30" t="n"/>
      <c r="J57" s="26" t="n"/>
    </row>
    <row r="58">
      <c r="A58" s="27" t="n"/>
      <c r="B58" s="25" t="n"/>
      <c r="C58" s="26" t="n"/>
      <c r="D58" s="25" t="n"/>
      <c r="E58" s="25" t="n"/>
      <c r="F58" s="25" t="n"/>
      <c r="G58" s="27" t="n"/>
      <c r="H58" s="27" t="n"/>
      <c r="I58" s="30" t="n"/>
      <c r="J58" s="26" t="n"/>
    </row>
    <row r="59">
      <c r="A59" s="27" t="n"/>
      <c r="B59" s="25" t="n"/>
      <c r="C59" s="26" t="n"/>
      <c r="D59" s="25" t="n"/>
      <c r="E59" s="25" t="n"/>
      <c r="F59" s="25" t="n"/>
      <c r="G59" s="27" t="n"/>
      <c r="H59" s="27" t="n"/>
      <c r="I59" s="30" t="n"/>
      <c r="J59" s="26" t="n"/>
    </row>
    <row r="60">
      <c r="A60" s="27" t="n"/>
      <c r="B60" s="25" t="n"/>
      <c r="C60" s="26" t="n"/>
      <c r="D60" s="25" t="n"/>
      <c r="E60" s="25" t="n"/>
      <c r="F60" s="25" t="n"/>
      <c r="G60" s="27" t="n"/>
      <c r="H60" s="27" t="n"/>
      <c r="I60" s="30" t="n"/>
      <c r="J60" s="26" t="n"/>
    </row>
    <row r="61">
      <c r="A61" s="27" t="n"/>
      <c r="B61" s="25" t="n"/>
      <c r="C61" s="26" t="n"/>
      <c r="D61" s="25" t="n"/>
      <c r="E61" s="25" t="n"/>
      <c r="F61" s="25" t="n"/>
      <c r="G61" s="27" t="n"/>
      <c r="H61" s="27" t="n"/>
      <c r="I61" s="30" t="n"/>
      <c r="J61" s="26" t="n"/>
    </row>
    <row r="62">
      <c r="A62" s="27" t="n"/>
      <c r="B62" s="25" t="n"/>
      <c r="C62" s="26" t="n"/>
      <c r="D62" s="25" t="n"/>
      <c r="E62" s="25" t="n"/>
      <c r="F62" s="25" t="n"/>
      <c r="G62" s="27" t="n"/>
      <c r="H62" s="27" t="n"/>
      <c r="I62" s="30" t="n"/>
      <c r="J62" s="26" t="n"/>
    </row>
    <row r="63">
      <c r="A63" s="27" t="n"/>
      <c r="B63" s="25" t="n"/>
      <c r="C63" s="26" t="n"/>
      <c r="D63" s="25" t="n"/>
      <c r="E63" s="25" t="n"/>
      <c r="F63" s="25" t="n"/>
      <c r="G63" s="27" t="n"/>
      <c r="H63" s="27" t="n"/>
      <c r="I63" s="30" t="n"/>
      <c r="J63" s="26" t="n"/>
    </row>
    <row r="64">
      <c r="A64" s="27" t="n"/>
      <c r="B64" s="25" t="n"/>
      <c r="C64" s="26" t="n"/>
      <c r="D64" s="25" t="n"/>
      <c r="E64" s="25" t="n"/>
      <c r="F64" s="25" t="n"/>
      <c r="G64" s="27" t="n"/>
      <c r="H64" s="27" t="n"/>
      <c r="I64" s="30" t="n"/>
      <c r="J64" s="26" t="n"/>
    </row>
    <row r="65">
      <c r="A65" s="27" t="n"/>
      <c r="B65" s="25" t="n"/>
      <c r="C65" s="26" t="n"/>
      <c r="D65" s="25" t="n"/>
      <c r="E65" s="25" t="n"/>
      <c r="F65" s="25" t="n"/>
      <c r="G65" s="27" t="n"/>
      <c r="H65" s="27" t="n"/>
      <c r="I65" s="30" t="n"/>
      <c r="J65" s="26" t="n"/>
    </row>
    <row r="66">
      <c r="A66" s="27" t="n"/>
      <c r="B66" s="25" t="n"/>
      <c r="C66" s="26" t="n"/>
      <c r="D66" s="25" t="n"/>
      <c r="E66" s="25" t="n"/>
      <c r="F66" s="25" t="n"/>
      <c r="G66" s="27" t="n"/>
      <c r="H66" s="27" t="n"/>
      <c r="I66" s="30" t="n"/>
      <c r="J66" s="26" t="n"/>
    </row>
    <row r="67">
      <c r="A67" s="27" t="n"/>
      <c r="B67" s="25" t="n"/>
      <c r="C67" s="26" t="n"/>
      <c r="D67" s="25" t="n"/>
      <c r="E67" s="25" t="n"/>
      <c r="F67" s="25" t="n"/>
      <c r="G67" s="27" t="n"/>
      <c r="H67" s="27" t="n"/>
      <c r="I67" s="30" t="n"/>
      <c r="J67" s="26" t="n"/>
    </row>
    <row r="68">
      <c r="A68" s="27" t="n"/>
      <c r="B68" s="25" t="n"/>
      <c r="C68" s="26" t="n"/>
      <c r="D68" s="25" t="n"/>
      <c r="E68" s="25" t="n"/>
      <c r="F68" s="25" t="n"/>
      <c r="G68" s="27" t="n"/>
      <c r="H68" s="27" t="n"/>
      <c r="I68" s="30" t="n"/>
      <c r="J68" s="26" t="n"/>
    </row>
    <row r="69">
      <c r="A69" s="27" t="n"/>
      <c r="B69" s="25" t="n"/>
      <c r="C69" s="26" t="n"/>
      <c r="D69" s="25" t="n"/>
      <c r="E69" s="25" t="n"/>
      <c r="F69" s="25" t="n"/>
      <c r="G69" s="27" t="n"/>
      <c r="H69" s="27" t="n"/>
      <c r="I69" s="30" t="n"/>
      <c r="J69" s="26" t="n"/>
    </row>
    <row r="70">
      <c r="A70" s="27" t="n"/>
      <c r="B70" s="25" t="n"/>
      <c r="C70" s="26" t="n"/>
      <c r="D70" s="25" t="n"/>
      <c r="E70" s="25" t="n"/>
      <c r="F70" s="25" t="n"/>
      <c r="G70" s="27" t="n"/>
      <c r="H70" s="27" t="n"/>
      <c r="I70" s="30" t="n"/>
      <c r="J70" s="26" t="n"/>
    </row>
    <row r="71">
      <c r="A71" s="27" t="n"/>
      <c r="B71" s="25" t="n"/>
      <c r="C71" s="26" t="n"/>
      <c r="D71" s="25" t="n"/>
      <c r="E71" s="25" t="n"/>
      <c r="F71" s="25" t="n"/>
      <c r="G71" s="27" t="n"/>
      <c r="H71" s="27" t="n"/>
      <c r="I71" s="30" t="n"/>
      <c r="J71" s="26" t="n"/>
    </row>
    <row r="72">
      <c r="A72" s="27" t="n"/>
      <c r="B72" s="25" t="n"/>
      <c r="C72" s="26" t="n"/>
      <c r="D72" s="25" t="n"/>
      <c r="E72" s="25" t="n"/>
      <c r="F72" s="25" t="n"/>
      <c r="G72" s="27" t="n"/>
      <c r="H72" s="27" t="n"/>
      <c r="I72" s="30" t="n"/>
      <c r="J72" s="26" t="n"/>
    </row>
    <row r="73">
      <c r="A73" s="27" t="n"/>
      <c r="B73" s="25" t="n"/>
      <c r="C73" s="26" t="n"/>
      <c r="D73" s="25" t="n"/>
      <c r="E73" s="25" t="n"/>
      <c r="F73" s="25" t="n"/>
      <c r="G73" s="27" t="n"/>
      <c r="H73" s="27" t="n"/>
      <c r="I73" s="30" t="n"/>
      <c r="J73" s="26" t="n"/>
    </row>
    <row r="74">
      <c r="A74" s="27" t="n"/>
      <c r="B74" s="25" t="n"/>
      <c r="C74" s="26" t="n"/>
      <c r="D74" s="25" t="n"/>
      <c r="E74" s="25" t="n"/>
      <c r="F74" s="25" t="n"/>
      <c r="G74" s="27" t="n"/>
      <c r="H74" s="27" t="n"/>
      <c r="I74" s="30" t="n"/>
      <c r="J74" s="26" t="n"/>
    </row>
    <row r="75">
      <c r="A75" s="27" t="n"/>
      <c r="B75" s="25" t="n"/>
      <c r="C75" s="26" t="n"/>
      <c r="D75" s="25" t="n"/>
      <c r="E75" s="25" t="n"/>
      <c r="F75" s="25" t="n"/>
      <c r="G75" s="27" t="n"/>
      <c r="H75" s="27" t="n"/>
      <c r="I75" s="30" t="n"/>
      <c r="J75" s="26" t="n"/>
    </row>
    <row r="76">
      <c r="A76" s="27" t="n"/>
      <c r="B76" s="25" t="n"/>
      <c r="C76" s="26" t="n"/>
      <c r="D76" s="25" t="n"/>
      <c r="E76" s="25" t="n"/>
      <c r="F76" s="25" t="n"/>
      <c r="G76" s="27" t="n"/>
      <c r="H76" s="27" t="n"/>
      <c r="I76" s="30" t="n"/>
      <c r="J76" s="26" t="n"/>
    </row>
    <row r="77">
      <c r="A77" s="27" t="n"/>
      <c r="B77" s="25" t="n"/>
      <c r="C77" s="26" t="n"/>
      <c r="D77" s="25" t="n"/>
      <c r="E77" s="25" t="n"/>
      <c r="F77" s="25" t="n"/>
      <c r="G77" s="27" t="n"/>
      <c r="H77" s="27" t="n"/>
      <c r="I77" s="30" t="n"/>
      <c r="J77" s="26" t="n"/>
    </row>
    <row r="78">
      <c r="A78" s="27" t="n"/>
      <c r="B78" s="25" t="n"/>
      <c r="C78" s="26" t="n"/>
      <c r="D78" s="25" t="n"/>
      <c r="E78" s="25" t="n"/>
      <c r="F78" s="25" t="n"/>
      <c r="G78" s="27" t="n"/>
      <c r="H78" s="27" t="n"/>
      <c r="I78" s="30" t="n"/>
      <c r="J78" s="26" t="n"/>
    </row>
    <row r="79">
      <c r="A79" s="27" t="n"/>
      <c r="B79" s="25" t="n"/>
      <c r="C79" s="26" t="n"/>
      <c r="D79" s="25" t="n"/>
      <c r="E79" s="25" t="n"/>
      <c r="F79" s="25" t="n"/>
      <c r="G79" s="27" t="n"/>
      <c r="H79" s="27" t="n"/>
      <c r="I79" s="30" t="n"/>
      <c r="J79" s="26" t="n"/>
    </row>
    <row r="80">
      <c r="A80" s="27" t="n"/>
      <c r="B80" s="25" t="n"/>
      <c r="C80" s="26" t="n"/>
      <c r="D80" s="25" t="n"/>
      <c r="E80" s="25" t="n"/>
      <c r="F80" s="25" t="n"/>
      <c r="G80" s="27" t="n"/>
      <c r="H80" s="27" t="n"/>
      <c r="I80" s="30" t="n"/>
      <c r="J80" s="26" t="n"/>
    </row>
    <row r="81">
      <c r="A81" s="27" t="n"/>
      <c r="B81" s="25" t="n"/>
      <c r="C81" s="26" t="n"/>
      <c r="D81" s="25" t="n"/>
      <c r="E81" s="25" t="n"/>
      <c r="F81" s="25" t="n"/>
      <c r="G81" s="27" t="n"/>
      <c r="H81" s="27" t="n"/>
      <c r="I81" s="30" t="n"/>
      <c r="J81" s="26" t="n"/>
    </row>
    <row r="82">
      <c r="A82" s="27" t="n"/>
      <c r="B82" s="25" t="n"/>
      <c r="C82" s="26" t="n"/>
      <c r="D82" s="25" t="n"/>
      <c r="E82" s="25" t="n"/>
      <c r="F82" s="25" t="n"/>
      <c r="G82" s="27" t="n"/>
      <c r="H82" s="27" t="n"/>
      <c r="I82" s="30" t="n"/>
      <c r="J82" s="26" t="n"/>
    </row>
    <row r="83">
      <c r="A83" s="27" t="n"/>
      <c r="B83" s="25" t="n"/>
      <c r="C83" s="26" t="n"/>
      <c r="D83" s="25" t="n"/>
      <c r="E83" s="25" t="n"/>
      <c r="F83" s="25" t="n"/>
      <c r="G83" s="27" t="n"/>
      <c r="H83" s="27" t="n"/>
      <c r="I83" s="30" t="n"/>
      <c r="J83" s="26" t="n"/>
    </row>
    <row r="84">
      <c r="A84" s="27" t="n"/>
      <c r="B84" s="25" t="n"/>
      <c r="C84" s="26" t="n"/>
      <c r="D84" s="25" t="n"/>
      <c r="E84" s="25" t="n"/>
      <c r="F84" s="25" t="n"/>
      <c r="G84" s="27" t="n"/>
      <c r="H84" s="27" t="n"/>
      <c r="I84" s="30" t="n"/>
      <c r="J84" s="26" t="n"/>
    </row>
    <row r="85">
      <c r="A85" s="27" t="n"/>
      <c r="B85" s="25" t="n"/>
      <c r="C85" s="26" t="n"/>
      <c r="D85" s="25" t="n"/>
      <c r="E85" s="25" t="n"/>
      <c r="F85" s="25" t="n"/>
      <c r="G85" s="27" t="n"/>
      <c r="H85" s="27" t="n"/>
      <c r="I85" s="30" t="n"/>
      <c r="J85" s="26" t="n"/>
    </row>
    <row r="86">
      <c r="A86" s="27" t="n"/>
      <c r="B86" s="25" t="n"/>
      <c r="C86" s="26" t="n"/>
      <c r="D86" s="25" t="n"/>
      <c r="E86" s="25" t="n"/>
      <c r="F86" s="25" t="n"/>
      <c r="G86" s="27" t="n"/>
      <c r="H86" s="27" t="n"/>
      <c r="I86" s="30" t="n"/>
      <c r="J86" s="26" t="n"/>
    </row>
    <row r="87">
      <c r="A87" s="27" t="n"/>
      <c r="B87" s="25" t="n"/>
      <c r="C87" s="26" t="n"/>
      <c r="D87" s="25" t="n"/>
      <c r="E87" s="25" t="n"/>
      <c r="F87" s="25" t="n"/>
      <c r="G87" s="27" t="n"/>
      <c r="H87" s="27" t="n"/>
      <c r="I87" s="30" t="n"/>
      <c r="J87" s="26" t="n"/>
    </row>
    <row r="88">
      <c r="A88" s="27" t="n"/>
      <c r="B88" s="25" t="n"/>
      <c r="C88" s="26" t="n"/>
      <c r="D88" s="25" t="n"/>
      <c r="E88" s="25" t="n"/>
      <c r="F88" s="25" t="n"/>
      <c r="G88" s="27" t="n"/>
      <c r="H88" s="27" t="n"/>
      <c r="I88" s="30" t="n"/>
      <c r="J88" s="26" t="n"/>
    </row>
    <row r="89">
      <c r="A89" s="27" t="n"/>
      <c r="B89" s="25" t="n"/>
      <c r="C89" s="26" t="n"/>
      <c r="D89" s="25" t="n"/>
      <c r="E89" s="25" t="n"/>
      <c r="F89" s="25" t="n"/>
      <c r="G89" s="27" t="n"/>
      <c r="H89" s="27" t="n"/>
      <c r="I89" s="30" t="n"/>
      <c r="J89" s="26" t="n"/>
    </row>
    <row r="90">
      <c r="A90" s="27" t="n"/>
      <c r="B90" s="25" t="n"/>
      <c r="C90" s="26" t="n"/>
      <c r="D90" s="25" t="n"/>
      <c r="E90" s="25" t="n"/>
      <c r="F90" s="25" t="n"/>
      <c r="G90" s="27" t="n"/>
      <c r="H90" s="27" t="n"/>
      <c r="I90" s="30" t="n"/>
      <c r="J90" s="26" t="n"/>
    </row>
    <row r="91">
      <c r="A91" s="27" t="n"/>
      <c r="B91" s="25" t="n"/>
      <c r="C91" s="26" t="n"/>
      <c r="D91" s="25" t="n"/>
      <c r="E91" s="25" t="n"/>
      <c r="F91" s="25" t="n"/>
      <c r="G91" s="27" t="n"/>
      <c r="H91" s="27" t="n"/>
      <c r="I91" s="30" t="n"/>
      <c r="J91" s="26" t="n"/>
    </row>
    <row r="92">
      <c r="A92" s="27" t="n"/>
      <c r="B92" s="25" t="n"/>
      <c r="C92" s="26" t="n"/>
      <c r="D92" s="25" t="n"/>
      <c r="E92" s="25" t="n"/>
      <c r="F92" s="25" t="n"/>
      <c r="G92" s="27" t="n"/>
      <c r="H92" s="27" t="n"/>
      <c r="I92" s="30" t="n"/>
      <c r="J92" s="26" t="n"/>
    </row>
    <row r="93">
      <c r="A93" s="27" t="n"/>
      <c r="B93" s="25" t="n"/>
      <c r="C93" s="26" t="n"/>
      <c r="D93" s="25" t="n"/>
      <c r="E93" s="25" t="n"/>
      <c r="F93" s="25" t="n"/>
      <c r="G93" s="27" t="n"/>
      <c r="H93" s="27" t="n"/>
      <c r="I93" s="30" t="n"/>
      <c r="J93" s="26" t="n"/>
    </row>
    <row r="94">
      <c r="A94" s="27" t="n"/>
      <c r="B94" s="25" t="n"/>
      <c r="C94" s="26" t="n"/>
      <c r="D94" s="25" t="n"/>
      <c r="E94" s="25" t="n"/>
      <c r="F94" s="25" t="n"/>
      <c r="G94" s="27" t="n"/>
      <c r="H94" s="27" t="n"/>
      <c r="I94" s="30" t="n"/>
      <c r="J94" s="26" t="n"/>
    </row>
    <row r="95">
      <c r="A95" s="27" t="n"/>
      <c r="B95" s="25" t="n"/>
      <c r="C95" s="26" t="n"/>
      <c r="D95" s="25" t="n"/>
      <c r="E95" s="25" t="n"/>
      <c r="F95" s="25" t="n"/>
      <c r="G95" s="27" t="n"/>
      <c r="H95" s="27" t="n"/>
      <c r="I95" s="30" t="n"/>
      <c r="J95" s="26" t="n"/>
    </row>
    <row r="96">
      <c r="A96" s="27" t="n"/>
      <c r="B96" s="25" t="n"/>
      <c r="C96" s="26" t="n"/>
      <c r="D96" s="25" t="n"/>
      <c r="E96" s="25" t="n"/>
      <c r="F96" s="25" t="n"/>
      <c r="G96" s="27" t="n"/>
      <c r="H96" s="27" t="n"/>
      <c r="I96" s="30" t="n"/>
      <c r="J96" s="26" t="n"/>
    </row>
    <row r="97">
      <c r="A97" s="27" t="n"/>
      <c r="B97" s="25" t="n"/>
      <c r="C97" s="26" t="n"/>
      <c r="D97" s="25" t="n"/>
      <c r="E97" s="25" t="n"/>
      <c r="F97" s="25" t="n"/>
      <c r="G97" s="27" t="n"/>
      <c r="H97" s="27" t="n"/>
      <c r="I97" s="30" t="n"/>
      <c r="J97" s="26" t="n"/>
    </row>
    <row r="98">
      <c r="A98" s="27" t="n"/>
      <c r="B98" s="25" t="n"/>
      <c r="C98" s="26" t="n"/>
      <c r="D98" s="25" t="n"/>
      <c r="E98" s="25" t="n"/>
      <c r="F98" s="25" t="n"/>
      <c r="G98" s="27" t="n"/>
      <c r="H98" s="27" t="n"/>
      <c r="I98" s="30" t="n"/>
      <c r="J98" s="26" t="n"/>
    </row>
    <row r="99">
      <c r="A99" s="27" t="n"/>
      <c r="B99" s="25" t="n"/>
      <c r="C99" s="26" t="n"/>
      <c r="D99" s="25" t="n"/>
      <c r="E99" s="25" t="n"/>
      <c r="F99" s="25" t="n"/>
      <c r="G99" s="27" t="n"/>
      <c r="H99" s="27" t="n"/>
      <c r="I99" s="30" t="n"/>
      <c r="J99" s="26" t="n"/>
    </row>
    <row r="100">
      <c r="A100" s="27" t="n"/>
      <c r="B100" s="25" t="n"/>
      <c r="C100" s="26" t="n"/>
      <c r="D100" s="25" t="n"/>
      <c r="E100" s="25" t="n"/>
      <c r="F100" s="25" t="n"/>
      <c r="G100" s="27" t="n"/>
      <c r="H100" s="27" t="n"/>
      <c r="I100" s="30" t="n"/>
      <c r="J100" s="26" t="n"/>
    </row>
    <row r="101">
      <c r="A101" s="27" t="n"/>
      <c r="B101" s="25" t="n"/>
      <c r="C101" s="26" t="n"/>
      <c r="D101" s="25" t="n"/>
      <c r="E101" s="25" t="n"/>
      <c r="F101" s="25" t="n"/>
      <c r="G101" s="27" t="n"/>
      <c r="H101" s="27" t="n"/>
      <c r="I101" s="30" t="n"/>
      <c r="J101" s="26" t="n"/>
    </row>
    <row r="102">
      <c r="A102" s="27" t="n"/>
      <c r="B102" s="25" t="n"/>
      <c r="C102" s="26" t="n"/>
      <c r="D102" s="25" t="n"/>
      <c r="E102" s="25" t="n"/>
      <c r="F102" s="25" t="n"/>
      <c r="G102" s="27" t="n"/>
      <c r="H102" s="27" t="n"/>
      <c r="I102" s="30" t="n"/>
      <c r="J102" s="26" t="n"/>
    </row>
    <row r="103">
      <c r="A103" s="27" t="n"/>
      <c r="B103" s="25" t="n"/>
      <c r="C103" s="26" t="n"/>
      <c r="D103" s="25" t="n"/>
      <c r="E103" s="25" t="n"/>
      <c r="F103" s="25" t="n"/>
      <c r="G103" s="27" t="n"/>
      <c r="H103" s="27" t="n"/>
      <c r="I103" s="30" t="n"/>
      <c r="J103" s="26" t="n"/>
    </row>
    <row r="104">
      <c r="A104" s="27" t="n"/>
      <c r="B104" s="25" t="n"/>
      <c r="C104" s="26" t="n"/>
      <c r="D104" s="25" t="n"/>
      <c r="E104" s="25" t="n"/>
      <c r="F104" s="25" t="n"/>
      <c r="G104" s="27" t="n"/>
      <c r="H104" s="27" t="n"/>
      <c r="I104" s="30" t="n"/>
      <c r="J104" s="2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7B6"/>
  <autoFilter ref="A4:J104"/>
  <mergeCells count="3">
    <mergeCell ref="A1:B2"/>
    <mergeCell ref="C1:J1"/>
    <mergeCell ref="C2:J2"/>
  </mergeCells>
  <conditionalFormatting sqref="A5:J104">
    <cfRule type="expression" priority="1" dxfId="10">
      <formula>AND($D5="Urgente",$E5&lt;&gt;"Résolu",$B5&lt;&gt;"")</formula>
    </cfRule>
    <cfRule type="expression" priority="2" dxfId="11">
      <formula>AND($D5="Haute",$E5&lt;&gt;"Résolu",$B5&lt;&gt;"")</formula>
    </cfRule>
  </conditionalFormatting>
  <conditionalFormatting sqref="E5:E104">
    <cfRule type="cellIs" priority="3" operator="equal" dxfId="8">
      <formula>"Résolu"</formula>
    </cfRule>
  </conditionalFormatting>
  <dataValidations count="3">
    <dataValidation sqref="B5:B104" showDropDown="0" showInputMessage="0" showErrorMessage="0" allowBlank="1" type="list">
      <formula1>=Liste_Biens</formula1>
    </dataValidation>
    <dataValidation sqref="D5:D104" showDropDown="0" showInputMessage="0" showErrorMessage="0" allowBlank="1" type="list">
      <formula1>=Liste_PrioriteMaint</formula1>
    </dataValidation>
    <dataValidation sqref="E5:E104" showDropDown="0" showInputMessage="0" showErrorMessage="0" allowBlank="1" type="list">
      <formula1>=Liste_StatutMaint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D4AF37"/>
    <outlinePr summaryBelow="1" summaryRight="1"/>
    <pageSetUpPr fitToPage="1"/>
  </sheetPr>
  <dimension ref="A1:H37"/>
  <sheetViews>
    <sheetView showGridLines="0" tabSelected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0" customWidth="1" min="4" max="4"/>
    <col width="16" customWidth="1" min="5" max="5"/>
    <col width="10" customWidth="1" min="6" max="6"/>
    <col width="14" customWidth="1" min="7" max="7"/>
    <col width="12" customWidth="1" min="8" max="8"/>
  </cols>
  <sheetData>
    <row r="1" ht="30" customHeight="1">
      <c r="A1" s="1" t="inlineStr">
        <is>
          <t>MG
HÔTE</t>
        </is>
      </c>
      <c r="C1" s="2" t="inlineStr">
        <is>
          <t>FACTURE PROPRIÉTAIRE</t>
        </is>
      </c>
    </row>
    <row r="2" ht="20" customHeight="1">
      <c r="C2" s="3" t="inlineStr">
        <is>
          <t>Fiche propriétaire + décompte financier de la période — prêt à exporter en PDF</t>
        </is>
      </c>
    </row>
    <row r="4" ht="20" customHeight="1">
      <c r="A4" s="14" t="inlineStr">
        <is>
          <t>N° Facture</t>
        </is>
      </c>
      <c r="C4" s="37" t="inlineStr">
        <is>
          <t>FACT-2026-001</t>
        </is>
      </c>
      <c r="E4" s="14" t="inlineStr">
        <is>
          <t>Date d'émission</t>
        </is>
      </c>
      <c r="G4" s="15">
        <f>TODAY()</f>
        <v/>
      </c>
    </row>
    <row r="5" ht="20" customHeight="1">
      <c r="A5" s="14" t="inlineStr">
        <is>
          <t>Propriétaire</t>
        </is>
      </c>
      <c r="C5" s="37" t="n"/>
      <c r="E5" s="14" t="inlineStr">
        <is>
          <t>Bien concerné</t>
        </is>
      </c>
      <c r="G5" s="37" t="n"/>
    </row>
    <row r="6" ht="20" customHeight="1">
      <c r="A6" s="14" t="inlineStr">
        <is>
          <t>Période — du</t>
        </is>
      </c>
      <c r="C6" s="27" t="n"/>
      <c r="E6" s="14" t="inlineStr">
        <is>
          <t>au</t>
        </is>
      </c>
      <c r="G6" s="27" t="n"/>
    </row>
    <row r="8" ht="22" customHeight="1">
      <c r="A8" s="4" t="inlineStr">
        <is>
          <t>COORDONNÉES PROPRIÉTAIRE (automatique)</t>
        </is>
      </c>
    </row>
    <row r="9" ht="18" customHeight="1">
      <c r="A9" s="14" t="inlineStr">
        <is>
          <t>Téléphone</t>
        </is>
      </c>
      <c r="C9" s="38">
        <f>IFERROR(INDEX(Propriétaires!$C$5:$C$14,MATCH($C$5,Propriétaires!$A$5:$A$14,0)),"")</f>
        <v/>
      </c>
      <c r="E9" s="14" t="inlineStr">
        <is>
          <t>Email</t>
        </is>
      </c>
      <c r="G9" s="38">
        <f>IFERROR(INDEX(Propriétaires!$D$5:$D$14,MATCH($C$5,Propriétaires!$A$5:$A$14,0)),"")</f>
        <v/>
      </c>
    </row>
    <row r="10" ht="18" customHeight="1">
      <c r="A10" s="14" t="inlineStr">
        <is>
          <t>Adresse</t>
        </is>
      </c>
      <c r="C10" s="38">
        <f>IFERROR(INDEX(Propriétaires!$E$5:$E$14,MATCH($C$5,Propriétaires!$A$5:$A$14,0)),"")</f>
        <v/>
      </c>
      <c r="E10" s="14" t="inlineStr">
        <is>
          <t>RIB / IBAN</t>
        </is>
      </c>
      <c r="G10" s="38">
        <f>IFERROR(INDEX(Propriétaires!$F$5:$F$14,MATCH($C$5,Propriétaires!$A$5:$A$14,0)),"")</f>
        <v/>
      </c>
    </row>
    <row r="13" ht="22" customHeight="1">
      <c r="A13" s="4" t="inlineStr">
        <is>
          <t>DÉTAIL FINANCIER DE LA PÉRIODE</t>
        </is>
      </c>
    </row>
    <row r="14" ht="20" customHeight="1">
      <c r="A14" s="9" t="inlineStr">
        <is>
          <t>Élément</t>
        </is>
      </c>
      <c r="B14" s="9" t="n"/>
      <c r="C14" s="9" t="n"/>
      <c r="D14" s="9" t="n"/>
      <c r="E14" s="9" t="n"/>
      <c r="F14" s="9" t="n"/>
      <c r="G14" s="9" t="inlineStr">
        <is>
          <t>Montant</t>
        </is>
      </c>
      <c r="H14" s="9" t="n"/>
    </row>
    <row r="15" ht="18" customHeight="1">
      <c r="A15" s="39" t="inlineStr">
        <is>
          <t>Chiffre d'affaires brut des réservations (Prix total)</t>
        </is>
      </c>
      <c r="G15" s="32">
        <f>SUMIFS(Réservations!$L$5:$L$204,Réservations!$B$5:$B$204,$G$5,Réservations!$G$5:$G$204,"&gt;="&amp;$C$6,Réservations!$G$5:$G$204,"&lt;="&amp;$G$6,Réservations!$Q$5:$Q$204,"&lt;&gt;Annulée")</f>
        <v/>
      </c>
      <c r="H15" s="40" t="n"/>
    </row>
    <row r="16" ht="18" customHeight="1">
      <c r="A16" s="38" t="inlineStr">
        <is>
          <t>Frais plateforme (Airbnb / Booking)</t>
        </is>
      </c>
      <c r="G16" s="31">
        <f>SUMIFS(Réservations!$M$5:$M$204,Réservations!$B$5:$B$204,$G$5,Réservations!$G$5:$G$204,"&gt;="&amp;$C$6,Réservations!$G$5:$G$204,"&lt;="&amp;$G$6,Réservations!$Q$5:$Q$204,"&lt;&gt;Annulée")</f>
        <v/>
      </c>
      <c r="H16" s="40" t="n"/>
    </row>
    <row r="17" ht="18" customHeight="1">
      <c r="A17" s="39" t="inlineStr">
        <is>
          <t>Montant net après frais plateforme</t>
        </is>
      </c>
      <c r="G17" s="32">
        <f>SUMIFS(Réservations!$N$5:$N$204,Réservations!$B$5:$B$204,$G$5,Réservations!$G$5:$G$204,"&gt;="&amp;$C$6,Réservations!$G$5:$G$204,"&lt;="&amp;$G$6,Réservations!$Q$5:$Q$204,"&lt;&gt;Annulée")</f>
        <v/>
      </c>
      <c r="H17" s="40" t="n"/>
    </row>
    <row r="18" ht="18" customHeight="1">
      <c r="A18" s="38" t="inlineStr">
        <is>
          <t>Taux de commission MG Hôte</t>
        </is>
      </c>
      <c r="G18" s="34">
        <f>IFERROR(INDEX(Biens!$I$5:$I$14,MATCH($G$5,Biens!$A$5:$A$14,0)),0)</f>
        <v/>
      </c>
      <c r="H18" s="40" t="n"/>
    </row>
    <row r="19" ht="18" customHeight="1">
      <c r="A19" s="38" t="inlineStr">
        <is>
          <t>Montant commission MG Hôte</t>
        </is>
      </c>
      <c r="G19" s="31">
        <f>SUMIFS(Réservations!$O$5:$O$204,Réservations!$B$5:$B$204,$G$5,Réservations!$G$5:$G$204,"&gt;="&amp;$C$6,Réservations!$G$5:$G$204,"&lt;="&amp;$G$6,Réservations!$Q$5:$Q$204,"&lt;&gt;Annulée")</f>
        <v/>
      </c>
      <c r="H19" s="40" t="n"/>
    </row>
    <row r="20" ht="18" customHeight="1">
      <c r="A20" s="38" t="inlineStr">
        <is>
          <t>Charges refacturées au propriétaire :</t>
        </is>
      </c>
      <c r="G20" s="28">
        <f>""</f>
        <v/>
      </c>
      <c r="H20" s="40" t="n"/>
    </row>
    <row r="21" ht="18" customHeight="1">
      <c r="A21" s="38" t="inlineStr">
        <is>
          <t xml:space="preserve">      Maintenance</t>
        </is>
      </c>
      <c r="G21" s="31">
        <f>SUMIFS('Journal Financier'!$F$5:$F$304,'Journal Financier'!$B$5:$B$304,$G$5,'Journal Financier'!$C$5:$C$304,"Dépense",'Journal Financier'!$D$5:$D$304,"Maintenance",'Journal Financier'!$A$5:$A$304,"&gt;="&amp;$C$6,'Journal Financier'!$A$5:$A$304,"&lt;="&amp;$G$6)</f>
        <v/>
      </c>
      <c r="H21" s="40" t="n"/>
    </row>
    <row r="22" ht="18" customHeight="1">
      <c r="A22" s="38" t="inlineStr">
        <is>
          <t xml:space="preserve">      Consommables</t>
        </is>
      </c>
      <c r="G22" s="31">
        <f>SUMIFS('Journal Financier'!$F$5:$F$304,'Journal Financier'!$B$5:$B$304,$G$5,'Journal Financier'!$C$5:$C$304,"Dépense",'Journal Financier'!$D$5:$D$304,"Consommables",'Journal Financier'!$A$5:$A$304,"&gt;="&amp;$C$6,'Journal Financier'!$A$5:$A$304,"&lt;="&amp;$G$6)</f>
        <v/>
      </c>
      <c r="H22" s="40" t="n"/>
    </row>
    <row r="23" ht="18" customHeight="1">
      <c r="A23" s="38" t="inlineStr">
        <is>
          <t xml:space="preserve">      Électricité</t>
        </is>
      </c>
      <c r="G23" s="31">
        <f>SUMIFS('Journal Financier'!$F$5:$F$304,'Journal Financier'!$B$5:$B$304,$G$5,'Journal Financier'!$C$5:$C$304,"Dépense",'Journal Financier'!$D$5:$D$304,"Électricité",'Journal Financier'!$A$5:$A$304,"&gt;="&amp;$C$6,'Journal Financier'!$A$5:$A$304,"&lt;="&amp;$G$6)</f>
        <v/>
      </c>
      <c r="H23" s="40" t="n"/>
    </row>
    <row r="24" ht="18" customHeight="1">
      <c r="A24" s="38" t="inlineStr">
        <is>
          <t xml:space="preserve">      Eau</t>
        </is>
      </c>
      <c r="G24" s="31">
        <f>SUMIFS('Journal Financier'!$F$5:$F$304,'Journal Financier'!$B$5:$B$304,$G$5,'Journal Financier'!$C$5:$C$304,"Dépense",'Journal Financier'!$D$5:$D$304,"Eau",'Journal Financier'!$A$5:$A$304,"&gt;="&amp;$C$6,'Journal Financier'!$A$5:$A$304,"&lt;="&amp;$G$6)</f>
        <v/>
      </c>
      <c r="H24" s="40" t="n"/>
    </row>
    <row r="25" ht="18" customHeight="1">
      <c r="A25" s="38" t="inlineStr">
        <is>
          <t xml:space="preserve">      Publicité</t>
        </is>
      </c>
      <c r="G25" s="31">
        <f>SUMIFS('Journal Financier'!$F$5:$F$304,'Journal Financier'!$B$5:$B$304,$G$5,'Journal Financier'!$C$5:$C$304,"Dépense",'Journal Financier'!$D$5:$D$304,"Publicité",'Journal Financier'!$A$5:$A$304,"&gt;="&amp;$C$6,'Journal Financier'!$A$5:$A$304,"&lt;="&amp;$G$6)</f>
        <v/>
      </c>
      <c r="H25" s="40" t="n"/>
    </row>
    <row r="26" ht="18" customHeight="1">
      <c r="A26" s="39" t="inlineStr">
        <is>
          <t>Sous-total charges refacturées</t>
        </is>
      </c>
      <c r="G26" s="32">
        <f>SUM(G21:G25)</f>
        <v/>
      </c>
      <c r="H26" s="40" t="n"/>
    </row>
    <row r="27" ht="18" customHeight="1">
      <c r="A27" s="41" t="inlineStr">
        <is>
          <t>MONTANT NET À VERSER AU PROPRIÉTAIRE</t>
        </is>
      </c>
      <c r="G27" s="42">
        <f>G17-G19-G26</f>
        <v/>
      </c>
      <c r="H27" s="40" t="n"/>
    </row>
    <row r="30">
      <c r="A30" s="21" t="inlineStr">
        <is>
          <t>Fait à ______________________, le</t>
        </is>
      </c>
      <c r="D30" s="43">
        <f>TODAY()</f>
        <v/>
      </c>
    </row>
    <row r="33">
      <c r="A33" s="44" t="inlineStr">
        <is>
          <t>Signature MG Hôte</t>
        </is>
      </c>
      <c r="E33" s="44" t="inlineStr">
        <is>
          <t>Signature Propriétaire</t>
        </is>
      </c>
    </row>
    <row r="34">
      <c r="A34" s="45" t="n"/>
      <c r="E34" s="45" t="n"/>
    </row>
    <row r="35"/>
    <row r="36"/>
    <row r="37"/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C7B6"/>
  <mergeCells count="35">
    <mergeCell ref="A16:F16"/>
    <mergeCell ref="G21:H21"/>
    <mergeCell ref="A27:F27"/>
    <mergeCell ref="G27:H27"/>
    <mergeCell ref="A18:F18"/>
    <mergeCell ref="G23:H23"/>
    <mergeCell ref="A26:F26"/>
    <mergeCell ref="A21:F21"/>
    <mergeCell ref="G17:H17"/>
    <mergeCell ref="C2:H2"/>
    <mergeCell ref="A14:F14"/>
    <mergeCell ref="A23:F23"/>
    <mergeCell ref="G19:H19"/>
    <mergeCell ref="A22:F22"/>
    <mergeCell ref="A17:F17"/>
    <mergeCell ref="E34:H37"/>
    <mergeCell ref="A20:F20"/>
    <mergeCell ref="G18:H18"/>
    <mergeCell ref="A19:F19"/>
    <mergeCell ref="G24:H24"/>
    <mergeCell ref="G15:H15"/>
    <mergeCell ref="G14:H14"/>
    <mergeCell ref="A1:B2"/>
    <mergeCell ref="A8:H8"/>
    <mergeCell ref="A15:F15"/>
    <mergeCell ref="G26:H26"/>
    <mergeCell ref="A24:F24"/>
    <mergeCell ref="G20:H20"/>
    <mergeCell ref="G16:H16"/>
    <mergeCell ref="G25:H25"/>
    <mergeCell ref="A34:D37"/>
    <mergeCell ref="A13:H13"/>
    <mergeCell ref="G22:H22"/>
    <mergeCell ref="A25:F25"/>
    <mergeCell ref="C1:H1"/>
  </mergeCells>
  <dataValidations count="1">
    <dataValidation sqref="G5" showDropDown="0" showInputMessage="0" showErrorMessage="0" allowBlank="1" type="list">
      <formula1>=Liste_Biens</formula1>
    </dataValidation>
  </dataValidations>
  <pageMargins left="0.4" right="0.4" top="0.5" bottom="0.5" header="0.5" footer="0.5"/>
  <pageSetup orientation="portrait" fitToHeight="1" fitToWidth="1"/>
</worksheet>
</file>

<file path=xl/worksheets/sheet11.xml><?xml version="1.0" encoding="utf-8"?>
<worksheet xmlns="http://schemas.openxmlformats.org/spreadsheetml/2006/main">
  <sheetPr>
    <tabColor rgb="00D4AF37"/>
    <outlinePr summaryBelow="1" summaryRight="1"/>
    <pageSetUpPr fitToPage="1"/>
  </sheetPr>
  <dimension ref="A1:F2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6" customWidth="1" min="5" max="5"/>
    <col width="14" customWidth="1" min="6" max="6"/>
  </cols>
  <sheetData>
    <row r="1" ht="30" customHeight="1">
      <c r="A1" s="1" t="inlineStr">
        <is>
          <t>MG
HÔTE</t>
        </is>
      </c>
      <c r="C1" s="2" t="inlineStr">
        <is>
          <t>RAPPORT MENSUEL D'ACTIVITÉ</t>
        </is>
      </c>
    </row>
    <row r="2" ht="20" customHeight="1">
      <c r="C2" s="3" t="inlineStr">
        <is>
          <t>Synthèse complète du mois sélectionné — prêt à exporter en PDF</t>
        </is>
      </c>
    </row>
    <row r="4" ht="20" customHeight="1">
      <c r="A4" s="14" t="inlineStr">
        <is>
          <t>Mois analysé (1er jour du mois)</t>
        </is>
      </c>
      <c r="D4" s="46">
        <f>EOMONTH(TODAY(),-1)+1</f>
        <v/>
      </c>
      <c r="E4" s="14" t="inlineStr">
        <is>
          <t>Commission (%)</t>
        </is>
      </c>
      <c r="F4" s="24" t="n">
        <v>0.2</v>
      </c>
    </row>
    <row r="6" ht="22" customHeight="1">
      <c r="A6" s="4" t="inlineStr">
        <is>
          <t>INDICATEURS DU MOIS</t>
        </is>
      </c>
    </row>
    <row r="7" ht="18" customHeight="1">
      <c r="A7" s="38" t="inlineStr">
        <is>
          <t>Nuits réservées</t>
        </is>
      </c>
      <c r="E7" s="16">
        <f>SUMIFS(Réservations!$I$5:$I$204,Réservations!$G$5:$G$204,"&gt;="&amp;$D$4,Réservations!$G$5:$G$204,"&lt;="&amp;EOMONTH($D$4,0),Réservations!$Q$5:$Q$204,"&lt;&gt;Annulée")</f>
        <v/>
      </c>
      <c r="F7" s="40" t="n"/>
    </row>
    <row r="8" ht="18" customHeight="1">
      <c r="A8" s="38" t="inlineStr">
        <is>
          <t>Taux d'occupation</t>
        </is>
      </c>
      <c r="E8" s="34">
        <f>IFERROR(E7/(COUNTIFS(Biens!$H$5:$H$14,"Actif")*(EOMONTH($D$4,0)-$D$4+1)),0)</f>
        <v/>
      </c>
      <c r="F8" s="40" t="n"/>
    </row>
    <row r="9" ht="18" customHeight="1">
      <c r="A9" s="38" t="inlineStr">
        <is>
          <t>Nombre de réservations confirmées</t>
        </is>
      </c>
      <c r="E9" s="16">
        <f>COUNTIFS(Réservations!$G$5:$G$204,"&gt;="&amp;$D$4,Réservations!$G$5:$G$204,"&lt;="&amp;EOMONTH($D$4,0),Réservations!$Q$5:$Q$204,"Confirmée")</f>
        <v/>
      </c>
      <c r="F9" s="40" t="n"/>
    </row>
    <row r="10" ht="18" customHeight="1">
      <c r="A10" s="39" t="inlineStr">
        <is>
          <t>Chiffre d'affaires (CA) du mois</t>
        </is>
      </c>
      <c r="E10" s="32">
        <f>SUMIFS('Journal Financier'!$G$5:$G$304,'Journal Financier'!$A$5:$A$304,"&gt;="&amp;$D$4,'Journal Financier'!$A$5:$A$304,"&lt;="&amp;EOMONTH($D$4,0),'Journal Financier'!$C$5:$C$304,"Recette")</f>
        <v/>
      </c>
      <c r="F10" s="40" t="n"/>
    </row>
    <row r="12" ht="22" customHeight="1">
      <c r="A12" s="4" t="inlineStr">
        <is>
          <t>DÉPENSES DÉTAILLÉES PAR CATÉGORIE</t>
        </is>
      </c>
    </row>
    <row r="13" ht="18" customHeight="1">
      <c r="A13" s="38" t="inlineStr">
        <is>
          <t>Maintenance</t>
        </is>
      </c>
      <c r="E13" s="31">
        <f>SUMIFS('Journal Financier'!$F$5:$F$304,'Journal Financier'!$A$5:$A$304,"&gt;="&amp;$D$4,'Journal Financier'!$A$5:$A$304,"&lt;="&amp;EOMONTH($D$4,0),'Journal Financier'!$C$5:$C$304,"Dépense",'Journal Financier'!$D$5:$D$304,"Maintenance")</f>
        <v/>
      </c>
      <c r="F13" s="40" t="n"/>
    </row>
    <row r="14" ht="18" customHeight="1">
      <c r="A14" s="38" t="inlineStr">
        <is>
          <t>Consommables</t>
        </is>
      </c>
      <c r="E14" s="31">
        <f>SUMIFS('Journal Financier'!$F$5:$F$304,'Journal Financier'!$A$5:$A$304,"&gt;="&amp;$D$4,'Journal Financier'!$A$5:$A$304,"&lt;="&amp;EOMONTH($D$4,0),'Journal Financier'!$C$5:$C$304,"Dépense",'Journal Financier'!$D$5:$D$304,"Consommables")</f>
        <v/>
      </c>
      <c r="F14" s="40" t="n"/>
    </row>
    <row r="15" ht="18" customHeight="1">
      <c r="A15" s="38" t="inlineStr">
        <is>
          <t>Électricité</t>
        </is>
      </c>
      <c r="E15" s="31">
        <f>SUMIFS('Journal Financier'!$F$5:$F$304,'Journal Financier'!$A$5:$A$304,"&gt;="&amp;$D$4,'Journal Financier'!$A$5:$A$304,"&lt;="&amp;EOMONTH($D$4,0),'Journal Financier'!$C$5:$C$304,"Dépense",'Journal Financier'!$D$5:$D$304,"Électricité")</f>
        <v/>
      </c>
      <c r="F15" s="40" t="n"/>
    </row>
    <row r="16" ht="18" customHeight="1">
      <c r="A16" s="38" t="inlineStr">
        <is>
          <t>Eau</t>
        </is>
      </c>
      <c r="E16" s="31">
        <f>SUMIFS('Journal Financier'!$F$5:$F$304,'Journal Financier'!$A$5:$A$304,"&gt;="&amp;$D$4,'Journal Financier'!$A$5:$A$304,"&lt;="&amp;EOMONTH($D$4,0),'Journal Financier'!$C$5:$C$304,"Dépense",'Journal Financier'!$D$5:$D$304,"Eau")</f>
        <v/>
      </c>
      <c r="F16" s="40" t="n"/>
    </row>
    <row r="17" ht="18" customHeight="1">
      <c r="A17" s="38" t="inlineStr">
        <is>
          <t>Publicité</t>
        </is>
      </c>
      <c r="E17" s="31">
        <f>SUMIFS('Journal Financier'!$F$5:$F$304,'Journal Financier'!$A$5:$A$304,"&gt;="&amp;$D$4,'Journal Financier'!$A$5:$A$304,"&lt;="&amp;EOMONTH($D$4,0),'Journal Financier'!$C$5:$C$304,"Dépense",'Journal Financier'!$D$5:$D$304,"Publicité")</f>
        <v/>
      </c>
      <c r="F17" s="40" t="n"/>
    </row>
    <row r="18" ht="18" customHeight="1">
      <c r="A18" s="38" t="inlineStr">
        <is>
          <t>Autres dépenses</t>
        </is>
      </c>
      <c r="E18" s="31">
        <f>SUMIFS('Journal Financier'!$F$5:$F$304,'Journal Financier'!$A$5:$A$304,"&gt;="&amp;$D$4,'Journal Financier'!$A$5:$A$304,"&lt;="&amp;EOMONTH($D$4,0),'Journal Financier'!$C$5:$C$304,"Dépense",'Journal Financier'!$D$5:$D$304,"Autre")</f>
        <v/>
      </c>
      <c r="F18" s="40" t="n"/>
    </row>
    <row r="19" ht="18" customHeight="1">
      <c r="A19" s="39" t="inlineStr">
        <is>
          <t>Total dépenses du mois</t>
        </is>
      </c>
      <c r="E19" s="32">
        <f>SUM(E13:E18)</f>
        <v/>
      </c>
      <c r="F19" s="40" t="n"/>
    </row>
    <row r="20" ht="18" customHeight="1">
      <c r="A20" s="39" t="inlineStr">
        <is>
          <t>Résultat net du mois</t>
        </is>
      </c>
      <c r="E20" s="32">
        <f>E10-E19</f>
        <v/>
      </c>
      <c r="F20" s="40" t="n"/>
    </row>
    <row r="21" ht="18" customHeight="1">
      <c r="A21" s="39" t="inlineStr">
        <is>
          <t>Commission MG Hôte</t>
        </is>
      </c>
      <c r="E21" s="32">
        <f>E10*$F$4</f>
        <v/>
      </c>
      <c r="F21" s="40" t="n"/>
    </row>
    <row r="22" ht="18" customHeight="1">
      <c r="A22" s="41" t="inlineStr">
        <is>
          <t>MONTANT DÛ AU PROPRIÉTAIRE</t>
        </is>
      </c>
      <c r="E22" s="42">
        <f>E20-E21</f>
        <v/>
      </c>
      <c r="F22" s="40" t="n"/>
    </row>
    <row r="24" ht="22" customHeight="1">
      <c r="A24" s="4" t="inlineStr">
        <is>
          <t>ALERTES DU MOIS</t>
        </is>
      </c>
    </row>
    <row r="25" ht="18" customHeight="1">
      <c r="A25" s="38" t="inlineStr">
        <is>
          <t>Ménages en attente sur ce mois</t>
        </is>
      </c>
      <c r="E25" s="16">
        <f>COUNTIFS('Ménage'!$A$5:$A$154,"&gt;="&amp;$D$4,'Ménage'!$A$5:$A$154,"&lt;="&amp;EOMONTH($D$4,0),'Ménage'!$D$5:$D$154,"En attente")</f>
        <v/>
      </c>
      <c r="F25" s="40" t="n"/>
    </row>
    <row r="26" ht="18" customHeight="1">
      <c r="A26" s="38" t="inlineStr">
        <is>
          <t>Incidents maintenance non résolus signalés ce mois</t>
        </is>
      </c>
      <c r="E26" s="16">
        <f>COUNTIFS(Maintenance!$A$5:$A$104,"&gt;="&amp;$D$4,Maintenance!$A$5:$A$104,"&lt;="&amp;EOMONTH($D$4,0),Maintenance!$E$5:$E$104,"&lt;&gt;Résolu")</f>
        <v/>
      </c>
      <c r="F26" s="40" t="n"/>
    </row>
    <row r="27" ht="18" customHeight="1">
      <c r="A27" s="38" t="inlineStr">
        <is>
          <t>Voyageurs non payés (séjour déjà terminé, toutes réservations)</t>
        </is>
      </c>
      <c r="E27" s="16">
        <f>COUNTIFS(Réservations!$R$5:$R$204,"Non payé",Réservations!$H$5:$H$204,"&lt;"&amp;TODAY())</f>
        <v/>
      </c>
      <c r="F27" s="40" t="n"/>
    </row>
    <row r="29">
      <c r="A29" s="47">
        <f>"Rapport généré le "&amp;TEXT(TODAY(),"dd/mm/yyyy")&amp;" — MG Hôte, conciergerie Airbnb &amp; Booking"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C7B6"/>
  <mergeCells count="42">
    <mergeCell ref="A17:D17"/>
    <mergeCell ref="A8:D8"/>
    <mergeCell ref="A22:D22"/>
    <mergeCell ref="A20:D20"/>
    <mergeCell ref="A12:F12"/>
    <mergeCell ref="E14:F14"/>
    <mergeCell ref="A19:D19"/>
    <mergeCell ref="A10:D10"/>
    <mergeCell ref="E17:F17"/>
    <mergeCell ref="E8:F8"/>
    <mergeCell ref="A13:D13"/>
    <mergeCell ref="A9:D9"/>
    <mergeCell ref="E20:F20"/>
    <mergeCell ref="E10:F10"/>
    <mergeCell ref="E19:F19"/>
    <mergeCell ref="A15:D15"/>
    <mergeCell ref="E13:F13"/>
    <mergeCell ref="A4:C4"/>
    <mergeCell ref="E9:F9"/>
    <mergeCell ref="A29:F29"/>
    <mergeCell ref="E15:F15"/>
    <mergeCell ref="E27:F27"/>
    <mergeCell ref="A7:D7"/>
    <mergeCell ref="A25:D25"/>
    <mergeCell ref="C1:F1"/>
    <mergeCell ref="A16:D16"/>
    <mergeCell ref="A1:B2"/>
    <mergeCell ref="E26:F26"/>
    <mergeCell ref="A24:F24"/>
    <mergeCell ref="A18:D18"/>
    <mergeCell ref="A27:D27"/>
    <mergeCell ref="E16:F16"/>
    <mergeCell ref="E21:F21"/>
    <mergeCell ref="E7:F7"/>
    <mergeCell ref="E25:F25"/>
    <mergeCell ref="A26:D26"/>
    <mergeCell ref="A21:D21"/>
    <mergeCell ref="A6:F6"/>
    <mergeCell ref="E22:F22"/>
    <mergeCell ref="C2:F2"/>
    <mergeCell ref="E18:F18"/>
    <mergeCell ref="A14:D14"/>
  </mergeCells>
  <pageMargins left="0.5" right="0.5" top="0.5" bottom="0.5" header="0.5" footer="0.5"/>
  <pageSetup orientation="portrait" fitToHeight="1" fitToWidth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808080"/>
    <outlinePr summaryBelow="1" summaryRight="1"/>
    <pageSetUpPr/>
  </sheetPr>
  <dimension ref="A1:N13"/>
  <sheetViews>
    <sheetView tabSelected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7" customWidth="1" min="3" max="3"/>
    <col width="14" customWidth="1" min="4" max="4"/>
    <col width="21" customWidth="1" min="5" max="5"/>
    <col width="15" customWidth="1" min="6" max="6"/>
    <col width="14" customWidth="1" min="7" max="7"/>
    <col width="16" customWidth="1" min="8" max="8"/>
    <col width="23" customWidth="1" min="9" max="9"/>
    <col width="21" customWidth="1" min="10" max="10"/>
    <col width="15" customWidth="1" min="11" max="11"/>
    <col width="20" customWidth="1" min="12" max="12"/>
    <col width="19" customWidth="1" min="13" max="13"/>
    <col width="27" customWidth="1" min="14" max="14"/>
  </cols>
  <sheetData>
    <row r="1" ht="22" customHeight="1">
      <c r="A1" s="48" t="inlineStr">
        <is>
          <t>PARAMÈTRES — Listes de référence (ne pas supprimer, utilisées par les listes déroulantes)</t>
        </is>
      </c>
    </row>
    <row r="2" ht="26" customHeight="1">
      <c r="B2" s="49" t="inlineStr">
        <is>
          <t>Biens</t>
        </is>
      </c>
      <c r="C2" s="49" t="inlineStr">
        <is>
          <t>Biens + Général</t>
        </is>
      </c>
      <c r="D2" s="49" t="inlineStr">
        <is>
          <t>Plateformes</t>
        </is>
      </c>
      <c r="E2" s="49" t="inlineStr">
        <is>
          <t>Statuts réservation</t>
        </is>
      </c>
      <c r="F2" s="49" t="inlineStr">
        <is>
          <t>Types de bien</t>
        </is>
      </c>
      <c r="G2" s="49" t="inlineStr">
        <is>
          <t>Statuts bien</t>
        </is>
      </c>
      <c r="H2" s="49" t="inlineStr">
        <is>
          <t>Statuts ménage</t>
        </is>
      </c>
      <c r="I2" s="49" t="inlineStr">
        <is>
          <t>Priorités maintenance</t>
        </is>
      </c>
      <c r="J2" s="49" t="inlineStr">
        <is>
          <t>Statuts maintenance</t>
        </is>
      </c>
      <c r="K2" s="49" t="inlineStr">
        <is>
          <t>Types journal</t>
        </is>
      </c>
      <c r="L2" s="49" t="inlineStr">
        <is>
          <t>Catégories journal</t>
        </is>
      </c>
      <c r="M2" s="49" t="inlineStr">
        <is>
          <t>Modes de paiement</t>
        </is>
      </c>
      <c r="N2" s="49" t="inlineStr">
        <is>
          <t>Statuts paiement voyageur</t>
        </is>
      </c>
    </row>
    <row r="3">
      <c r="B3" s="38">
        <f>IF(Biens!A5="","",Biens!A5)</f>
        <v/>
      </c>
      <c r="C3" s="38">
        <f>IF(Biens!A5="","",Biens!A5)</f>
        <v/>
      </c>
      <c r="D3" s="38" t="inlineStr">
        <is>
          <t>Airbnb</t>
        </is>
      </c>
      <c r="E3" s="38" t="inlineStr">
        <is>
          <t>Confirmée</t>
        </is>
      </c>
      <c r="F3" s="38" t="inlineStr">
        <is>
          <t>Villa</t>
        </is>
      </c>
      <c r="G3" s="38" t="inlineStr">
        <is>
          <t>Actif</t>
        </is>
      </c>
      <c r="H3" s="38" t="inlineStr">
        <is>
          <t>Fait</t>
        </is>
      </c>
      <c r="I3" s="38" t="inlineStr">
        <is>
          <t>Urgente</t>
        </is>
      </c>
      <c r="J3" s="38" t="inlineStr">
        <is>
          <t>Ouvert</t>
        </is>
      </c>
      <c r="K3" s="38" t="inlineStr">
        <is>
          <t>Recette</t>
        </is>
      </c>
      <c r="L3" s="38" t="inlineStr">
        <is>
          <t>Loyer Airbnb</t>
        </is>
      </c>
      <c r="M3" s="38" t="inlineStr">
        <is>
          <t>Virement</t>
        </is>
      </c>
      <c r="N3" s="38" t="inlineStr">
        <is>
          <t>Payé</t>
        </is>
      </c>
    </row>
    <row r="4">
      <c r="B4" s="38">
        <f>IF(Biens!A6="","",Biens!A6)</f>
        <v/>
      </c>
      <c r="C4" s="38">
        <f>IF(Biens!A6="","",Biens!A6)</f>
        <v/>
      </c>
      <c r="D4" s="38" t="inlineStr">
        <is>
          <t>Booking</t>
        </is>
      </c>
      <c r="E4" s="38" t="inlineStr">
        <is>
          <t>En attente</t>
        </is>
      </c>
      <c r="F4" s="38" t="inlineStr">
        <is>
          <t>Appartement</t>
        </is>
      </c>
      <c r="G4" s="38" t="inlineStr">
        <is>
          <t>Inactif</t>
        </is>
      </c>
      <c r="H4" s="38" t="inlineStr">
        <is>
          <t>En attente</t>
        </is>
      </c>
      <c r="I4" s="38" t="inlineStr">
        <is>
          <t>Haute</t>
        </is>
      </c>
      <c r="J4" s="38" t="inlineStr">
        <is>
          <t>En cours</t>
        </is>
      </c>
      <c r="K4" s="38" t="inlineStr">
        <is>
          <t>Dépense</t>
        </is>
      </c>
      <c r="L4" s="38" t="inlineStr">
        <is>
          <t>Loyer Booking</t>
        </is>
      </c>
      <c r="M4" s="38" t="inlineStr">
        <is>
          <t>Espèces</t>
        </is>
      </c>
      <c r="N4" s="38" t="inlineStr">
        <is>
          <t>Partiel</t>
        </is>
      </c>
    </row>
    <row r="5">
      <c r="B5" s="38">
        <f>IF(Biens!A7="","",Biens!A7)</f>
        <v/>
      </c>
      <c r="C5" s="38">
        <f>IF(Biens!A7="","",Biens!A7)</f>
        <v/>
      </c>
      <c r="D5" s="38" t="inlineStr">
        <is>
          <t>Direct</t>
        </is>
      </c>
      <c r="E5" s="38" t="inlineStr">
        <is>
          <t>Terminée</t>
        </is>
      </c>
      <c r="F5" s="38" t="inlineStr">
        <is>
          <t>Riad</t>
        </is>
      </c>
      <c r="I5" s="38" t="inlineStr">
        <is>
          <t>Normale</t>
        </is>
      </c>
      <c r="J5" s="38" t="inlineStr">
        <is>
          <t>Résolu</t>
        </is>
      </c>
      <c r="L5" s="38" t="inlineStr">
        <is>
          <t>Loyer Direct</t>
        </is>
      </c>
      <c r="M5" s="38" t="inlineStr">
        <is>
          <t>Chèque</t>
        </is>
      </c>
      <c r="N5" s="38" t="inlineStr">
        <is>
          <t>Non payé</t>
        </is>
      </c>
    </row>
    <row r="6">
      <c r="B6" s="38">
        <f>IF(Biens!A8="","",Biens!A8)</f>
        <v/>
      </c>
      <c r="C6" s="38">
        <f>IF(Biens!A8="","",Biens!A8)</f>
        <v/>
      </c>
      <c r="E6" s="38" t="inlineStr">
        <is>
          <t>Annulée</t>
        </is>
      </c>
      <c r="I6" s="38" t="inlineStr">
        <is>
          <t>Basse</t>
        </is>
      </c>
      <c r="L6" s="38" t="inlineStr">
        <is>
          <t>Commission MG Hôte</t>
        </is>
      </c>
      <c r="M6" s="38" t="inlineStr">
        <is>
          <t>Carte bancaire</t>
        </is>
      </c>
    </row>
    <row r="7">
      <c r="B7" s="38">
        <f>IF(Biens!A9="","",Biens!A9)</f>
        <v/>
      </c>
      <c r="C7" s="38">
        <f>IF(Biens!A9="","",Biens!A9)</f>
        <v/>
      </c>
      <c r="L7" s="38" t="inlineStr">
        <is>
          <t>Maintenance</t>
        </is>
      </c>
      <c r="M7" s="38" t="inlineStr">
        <is>
          <t>Autre</t>
        </is>
      </c>
    </row>
    <row r="8">
      <c r="B8" s="38">
        <f>IF(Biens!A10="","",Biens!A10)</f>
        <v/>
      </c>
      <c r="C8" s="38">
        <f>IF(Biens!A10="","",Biens!A10)</f>
        <v/>
      </c>
      <c r="L8" s="38" t="inlineStr">
        <is>
          <t>Consommables</t>
        </is>
      </c>
    </row>
    <row r="9">
      <c r="B9" s="38">
        <f>IF(Biens!A11="","",Biens!A11)</f>
        <v/>
      </c>
      <c r="C9" s="38">
        <f>IF(Biens!A11="","",Biens!A11)</f>
        <v/>
      </c>
      <c r="L9" s="38" t="inlineStr">
        <is>
          <t>Électricité</t>
        </is>
      </c>
    </row>
    <row r="10">
      <c r="B10" s="38">
        <f>IF(Biens!A12="","",Biens!A12)</f>
        <v/>
      </c>
      <c r="C10" s="38">
        <f>IF(Biens!A12="","",Biens!A12)</f>
        <v/>
      </c>
      <c r="L10" s="38" t="inlineStr">
        <is>
          <t>Eau</t>
        </is>
      </c>
    </row>
    <row r="11">
      <c r="B11" s="38">
        <f>IF(Biens!A13="","",Biens!A13)</f>
        <v/>
      </c>
      <c r="C11" s="38">
        <f>IF(Biens!A13="","",Biens!A13)</f>
        <v/>
      </c>
      <c r="L11" s="38" t="inlineStr">
        <is>
          <t>Publicité</t>
        </is>
      </c>
    </row>
    <row r="12">
      <c r="B12" s="38">
        <f>IF(Biens!A14="","",Biens!A14)</f>
        <v/>
      </c>
      <c r="C12" s="38">
        <f>IF(Biens!A14="","",Biens!A14)</f>
        <v/>
      </c>
      <c r="L12" s="38" t="inlineStr">
        <is>
          <t>Reversement propriétaire</t>
        </is>
      </c>
    </row>
    <row r="13">
      <c r="C13" s="38" t="inlineStr">
        <is>
          <t>Général (MG Hôte)</t>
        </is>
      </c>
      <c r="L13" s="38" t="inlineStr">
        <is>
          <t>Autre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C7B6"/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MG Hôte</dc:creator>
  <dc:title>MG Hôte — Fichier de Gestion Conciergerie</dc:title>
  <dc:description>Fichier de gestion conciergerie MG Hôte : réservations, biens, propriétaires, comptabilité, ménage, maintenance, facturation.</dc:description>
  <dc:subject>Gestion conciergerie Airbnb / Booking / LCD</dc:subject>
  <dc:language>fr-FR</dc:language>
  <dcterms:created xsi:type="dcterms:W3CDTF">2026-08-05T15:31:36Z</dcterms:created>
  <dcterms:modified xsi:type="dcterms:W3CDTF">2026-08-05T15:31:37Z</dcterms:modified>
</cp:coreProperties>
</file>