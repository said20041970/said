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Réservations" sheetId="2" state="visible" r:id="rId4"/>
    <sheet name="Dépenses" sheetId="3" state="visible" r:id="rId5"/>
    <sheet name="Ménage" sheetId="4" state="visible" r:id="rId6"/>
    <sheet name="Incidents" sheetId="5" state="visible" r:id="rId7"/>
    <sheet name="Propriétaires" sheetId="6" state="visible" r:id="rId8"/>
    <sheet name="Synthèse" sheetId="7" state="visible" r:id="rId9"/>
    <sheet name="Facture" sheetId="8" state="visible" r:id="rId10"/>
    <sheet name="Rapport" sheetId="9" state="visible" r:id="rId11"/>
    <sheet name="Paramètres" sheetId="10" state="visible" r:id="rId12"/>
    <sheet name="Mode d'emploi" sheetId="11" state="visible" r:id="rId13"/>
  </sheets>
  <definedNames>
    <definedName function="false" hidden="false" localSheetId="7" name="_xlnm.Print_Area" vbProcedure="false">Facture!$A$1:$E$26</definedName>
    <definedName function="false" hidden="false" localSheetId="5" name="_xlnm.Print_Area" vbProcedure="false">Propriétaires!$A$1:$G$13</definedName>
    <definedName function="false" hidden="false" localSheetId="8" name="_xlnm.Print_Area" vbProcedure="false">Rapport!$A$1:$D$27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Lignes 4 et 5 : exemples à remplacer par vos vraies réservations.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Lignes 4 et 5 : exemples à remplacer.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Ligne 4 : exemple à remplacer. Le % frais MG Hôte est utilisé automatiquement dans les réservations et la facture.</t>
        </r>
      </text>
    </comment>
  </commentList>
</comments>
</file>

<file path=xl/sharedStrings.xml><?xml version="1.0" encoding="utf-8"?>
<sst xmlns="http://schemas.openxmlformats.org/spreadsheetml/2006/main" count="325" uniqueCount="238">
  <si>
    <t xml:space="preserve">MG HÔTE — TABLEAU DE BORD</t>
  </si>
  <si>
    <t xml:space="preserve">Conciergerie · Airbnb / Booking / Location courte durée · Villas, Appartements, Riads</t>
  </si>
  <si>
    <t xml:space="preserve">Date du jour :</t>
  </si>
  <si>
    <t xml:space="preserve">AUJOURD'HUI &amp; CE MOIS-CI</t>
  </si>
  <si>
    <t xml:space="preserve">Arrivées aujourd'hui</t>
  </si>
  <si>
    <t xml:space="preserve">Départs aujourd'hui</t>
  </si>
  <si>
    <t xml:space="preserve">Arrivées 7 prochains jours</t>
  </si>
  <si>
    <t xml:space="preserve">Ménages en attente</t>
  </si>
  <si>
    <t xml:space="preserve">Nuits réservées (mois)</t>
  </si>
  <si>
    <t xml:space="preserve">BLOC FINANCIER (mois en cours)</t>
  </si>
  <si>
    <t xml:space="preserve">Taux occupation (mois)</t>
  </si>
  <si>
    <t xml:space="preserve">CA brut (mois)</t>
  </si>
  <si>
    <t xml:space="preserve">Revenus MG Hôte (mois)</t>
  </si>
  <si>
    <t xml:space="preserve">Dépenses (mois)</t>
  </si>
  <si>
    <t xml:space="preserve">Résultat MG Hôte (mois)</t>
  </si>
  <si>
    <t xml:space="preserve">ALERTES</t>
  </si>
  <si>
    <t xml:space="preserve">Paiements en retard</t>
  </si>
  <si>
    <t xml:space="preserve">Ménages oubliés (date passée)</t>
  </si>
  <si>
    <t xml:space="preserve">Rentabilité faible ce mois-ci</t>
  </si>
  <si>
    <t xml:space="preserve">Logements vides trop longtemps</t>
  </si>
  <si>
    <t xml:space="preserve">SUIVI PAR BIEN</t>
  </si>
  <si>
    <t xml:space="preserve">Bien</t>
  </si>
  <si>
    <t xml:space="preserve">Actif</t>
  </si>
  <si>
    <t xml:space="preserve">Dernier départ</t>
  </si>
  <si>
    <t xml:space="preserve">Jours vides</t>
  </si>
  <si>
    <t xml:space="preserve">Alerte</t>
  </si>
  <si>
    <t xml:space="preserve">RÉSERVATIONS</t>
  </si>
  <si>
    <t xml:space="preserve">MG Hôte — Conciergerie · Location courte durée</t>
  </si>
  <si>
    <t xml:space="preserve">ID</t>
  </si>
  <si>
    <t xml:space="preserve">Plateforme</t>
  </si>
  <si>
    <t xml:space="preserve">Client</t>
  </si>
  <si>
    <t xml:space="preserve">Téléphone</t>
  </si>
  <si>
    <t xml:space="preserve">Arrivée</t>
  </si>
  <si>
    <t xml:space="preserve">Départ</t>
  </si>
  <si>
    <t xml:space="preserve">Nuits</t>
  </si>
  <si>
    <t xml:space="preserve">Prix / nuit</t>
  </si>
  <si>
    <t xml:space="preserve">Total séjour</t>
  </si>
  <si>
    <t xml:space="preserve">% comm. plateforme</t>
  </si>
  <si>
    <t xml:space="preserve">Comm. plateforme</t>
  </si>
  <si>
    <t xml:space="preserve">% frais MG Hôte</t>
  </si>
  <si>
    <t xml:space="preserve">Frais MG Hôte</t>
  </si>
  <si>
    <t xml:space="preserve">Net propriétaire</t>
  </si>
  <si>
    <t xml:space="preserve">Statut</t>
  </si>
  <si>
    <t xml:space="preserve">Payé</t>
  </si>
  <si>
    <t xml:space="preserve">Ménage</t>
  </si>
  <si>
    <t xml:space="preserve">Notes</t>
  </si>
  <si>
    <t xml:space="preserve">Mois</t>
  </si>
  <si>
    <t xml:space="preserve">Année</t>
  </si>
  <si>
    <t xml:space="preserve">R-001</t>
  </si>
  <si>
    <t xml:space="preserve">Bien 1</t>
  </si>
  <si>
    <t xml:space="preserve">Airbnb</t>
  </si>
  <si>
    <t xml:space="preserve">Karim Benjelloun (exemple)</t>
  </si>
  <si>
    <t xml:space="preserve">+212 6 00 00 00 00</t>
  </si>
  <si>
    <t xml:space="preserve">Terminée</t>
  </si>
  <si>
    <t xml:space="preserve">Oui</t>
  </si>
  <si>
    <t xml:space="preserve">Fait</t>
  </si>
  <si>
    <t xml:space="preserve">Ligne exemple — à remplacer</t>
  </si>
  <si>
    <t xml:space="preserve">R-002</t>
  </si>
  <si>
    <t xml:space="preserve">Booking</t>
  </si>
  <si>
    <t xml:space="preserve">Sarah Martin (exemple)</t>
  </si>
  <si>
    <t xml:space="preserve">+33 6 00 00 00 00</t>
  </si>
  <si>
    <t xml:space="preserve">Confirmée</t>
  </si>
  <si>
    <t xml:space="preserve">Non</t>
  </si>
  <si>
    <t xml:space="preserve">En attente</t>
  </si>
  <si>
    <t xml:space="preserve">DÉPENSES</t>
  </si>
  <si>
    <t xml:space="preserve">Date</t>
  </si>
  <si>
    <t xml:space="preserve">Catégorie</t>
  </si>
  <si>
    <t xml:space="preserve">Description</t>
  </si>
  <si>
    <t xml:space="preserve">Montant</t>
  </si>
  <si>
    <t xml:space="preserve">Électricité</t>
  </si>
  <si>
    <t xml:space="preserve">Facture électricité juillet (exemple)</t>
  </si>
  <si>
    <t xml:space="preserve">Consommables</t>
  </si>
  <si>
    <t xml:space="preserve">Produits d'accueil + ménage (exemple)</t>
  </si>
  <si>
    <t xml:space="preserve">MÉNAGE</t>
  </si>
  <si>
    <t xml:space="preserve">ID Réservation</t>
  </si>
  <si>
    <t xml:space="preserve">Compte rendu</t>
  </si>
  <si>
    <t xml:space="preserve">RAS — linge changé, stock produits OK (exemple)</t>
  </si>
  <si>
    <t xml:space="preserve">INCIDENTS / MAINTENANCE</t>
  </si>
  <si>
    <t xml:space="preserve">Priorité</t>
  </si>
  <si>
    <t xml:space="preserve">Coût</t>
  </si>
  <si>
    <t xml:space="preserve">Date résolution</t>
  </si>
  <si>
    <t xml:space="preserve">Fuite robinet salle de bain (exemple)</t>
  </si>
  <si>
    <t xml:space="preserve">Moyenne</t>
  </si>
  <si>
    <t xml:space="preserve">En cours</t>
  </si>
  <si>
    <t xml:space="preserve">PROPRIÉTAIRES</t>
  </si>
  <si>
    <t xml:space="preserve">Nom du propriétaire</t>
  </si>
  <si>
    <t xml:space="preserve">Email</t>
  </si>
  <si>
    <t xml:space="preserve">RIB / IBAN</t>
  </si>
  <si>
    <t xml:space="preserve">Nom du propriétaire (exemple)</t>
  </si>
  <si>
    <t xml:space="preserve">+212 6 11 11 11 11</t>
  </si>
  <si>
    <t xml:space="preserve">proprietaire@email.com</t>
  </si>
  <si>
    <t xml:space="preserve">Bien 2</t>
  </si>
  <si>
    <t xml:space="preserve">Bien 3</t>
  </si>
  <si>
    <t xml:space="preserve">Bien 4</t>
  </si>
  <si>
    <t xml:space="preserve">Bien 5</t>
  </si>
  <si>
    <t xml:space="preserve">Bien 6</t>
  </si>
  <si>
    <t xml:space="preserve">Bien 7</t>
  </si>
  <si>
    <t xml:space="preserve">Bien 8</t>
  </si>
  <si>
    <t xml:space="preserve">Bien 9</t>
  </si>
  <si>
    <t xml:space="preserve">Bien 10</t>
  </si>
  <si>
    <t xml:space="preserve">SYNTHÈSE MENSUELLE</t>
  </si>
  <si>
    <t xml:space="preserve">Année suivie : voir l'onglet Paramètres (cellule B4)</t>
  </si>
  <si>
    <t xml:space="preserve">Taux occup.</t>
  </si>
  <si>
    <t xml:space="preserve">CA brut</t>
  </si>
  <si>
    <t xml:space="preserve">Comm. plateformes</t>
  </si>
  <si>
    <t xml:space="preserve">Revenus MG Hôte</t>
  </si>
  <si>
    <t xml:space="preserve">Net propriétaires</t>
  </si>
  <si>
    <t xml:space="preserve">Maintenance</t>
  </si>
  <si>
    <t xml:space="preserve">Eau</t>
  </si>
  <si>
    <t xml:space="preserve">Publicité</t>
  </si>
  <si>
    <t xml:space="preserve">Autre</t>
  </si>
  <si>
    <t xml:space="preserve">Total dépenses</t>
  </si>
  <si>
    <t xml:space="preserve">Résultat MG Hôte</t>
  </si>
  <si>
    <t xml:space="preserve">Évolution CA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</si>
  <si>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</si>
  <si>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</si>
  <si>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</si>
  <si>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</si>
  <si>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</si>
  <si>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</si>
  <si>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</si>
  <si>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</si>
  <si>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</si>
  <si>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</si>
  <si>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</si>
  <si>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</si>
  <si>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TOTAL ANNÉE</t>
  </si>
  <si>
    <t xml:space="preserve">MG HÔTE — FACTURE PROPRIÉTAIRE</t>
  </si>
  <si>
    <t xml:space="preserve">Conciergerie · Location courte durée</t>
  </si>
  <si>
    <t xml:space="preserve">MG Hôte — vos coordonnées :</t>
  </si>
  <si>
    <t xml:space="preserve">Adresse, ville — Tél : +212 ... — Email : contact@mghote.com</t>
  </si>
  <si>
    <t xml:space="preserve">N° de facture</t>
  </si>
  <si>
    <t xml:space="preserve">F-2026-001</t>
  </si>
  <si>
    <t xml:space="preserve">Date d'émission</t>
  </si>
  <si>
    <t xml:space="preserve">Bien concerné</t>
  </si>
  <si>
    <t xml:space="preserve">Mois (1 à 12)</t>
  </si>
  <si>
    <t xml:space="preserve">Facturé à :</t>
  </si>
  <si>
    <t xml:space="preserve">Téléphone :</t>
  </si>
  <si>
    <t xml:space="preserve">Email :</t>
  </si>
  <si>
    <t xml:space="preserve">Libellé</t>
  </si>
  <si>
    <t xml:space="preserve">Chiffre d'affaires brut du mois</t>
  </si>
  <si>
    <t xml:space="preserve">Commissions plateformes (Airbnb / Booking)</t>
  </si>
  <si>
    <t xml:space="preserve">Frais de conciergerie MG Hôte</t>
  </si>
  <si>
    <t xml:space="preserve">Dépenses du mois (refacturées au propriétaire)</t>
  </si>
  <si>
    <t xml:space="preserve">NET À VERSER AU PROPRIÉTAIRE</t>
  </si>
  <si>
    <t xml:space="preserve">Les dépenses refacturées sont détaillées dans l'onglet Dépenses (filtrer par bien et par mois).</t>
  </si>
  <si>
    <t xml:space="preserve">Merci de votre confiance — MG Hôte</t>
  </si>
  <si>
    <t xml:space="preserve">MG HÔTE — RAPPORT MENSUEL</t>
  </si>
  <si>
    <t xml:space="preserve">État mensuel global — prêt à imprimer / exporter en PDF</t>
  </si>
  <si>
    <t xml:space="preserve">ACTIVITÉ</t>
  </si>
  <si>
    <t xml:space="preserve">Réservations du mois</t>
  </si>
  <si>
    <t xml:space="preserve">Nuits réservées</t>
  </si>
  <si>
    <t xml:space="preserve">Taux d'occupation</t>
  </si>
  <si>
    <t xml:space="preserve">Annulations</t>
  </si>
  <si>
    <t xml:space="preserve">FINANCES</t>
  </si>
  <si>
    <t xml:space="preserve">Chiffre d'affaires brut</t>
  </si>
  <si>
    <t xml:space="preserve">Commissions plateformes</t>
  </si>
  <si>
    <t xml:space="preserve">Revenus MG Hôte (frais de conciergerie)</t>
  </si>
  <si>
    <t xml:space="preserve">Net versé aux propriétaires</t>
  </si>
  <si>
    <t xml:space="preserve">Résultat MG Hôte (revenus − dépenses)</t>
  </si>
  <si>
    <t xml:space="preserve">OPÉRATIONNEL</t>
  </si>
  <si>
    <t xml:space="preserve">Ménages faits ce mois</t>
  </si>
  <si>
    <t xml:space="preserve">Ménages en attente ce mois</t>
  </si>
  <si>
    <t xml:space="preserve">Incidents ouverts / en cours</t>
  </si>
  <si>
    <t xml:space="preserve">Incidents résolus ce mois</t>
  </si>
  <si>
    <t xml:space="preserve">PARAMÈTRES — MG HÔTE</t>
  </si>
  <si>
    <t xml:space="preserve">Année de suivi (Synthèse)</t>
  </si>
  <si>
    <t xml:space="preserve">Devise</t>
  </si>
  <si>
    <t xml:space="preserve">MAD</t>
  </si>
  <si>
    <t xml:space="preserve">LISTE DES BIENS</t>
  </si>
  <si>
    <t xml:space="preserve">COMMISSIONS PLATEFORMES</t>
  </si>
  <si>
    <t xml:space="preserve">LISTES DE VALIDATION</t>
  </si>
  <si>
    <t xml:space="preserve">Actif (Oui/Non)</t>
  </si>
  <si>
    <t xml:space="preserve">% commission</t>
  </si>
  <si>
    <t xml:space="preserve">Statut résa</t>
  </si>
  <si>
    <t xml:space="preserve">Catégorie dépense</t>
  </si>
  <si>
    <t xml:space="preserve">Statut incident</t>
  </si>
  <si>
    <t xml:space="preserve">Haute</t>
  </si>
  <si>
    <t xml:space="preserve">Ouvert</t>
  </si>
  <si>
    <t xml:space="preserve">Directe</t>
  </si>
  <si>
    <t xml:space="preserve">Annulée</t>
  </si>
  <si>
    <t xml:space="preserve">Basse</t>
  </si>
  <si>
    <t xml:space="preserve">Résolu</t>
  </si>
  <si>
    <t xml:space="preserve">Nombre de biens actifs</t>
  </si>
  <si>
    <t xml:space="preserve">SEUILS D'ALERTE</t>
  </si>
  <si>
    <t xml:space="preserve">Logement vide au-delà de (jours)</t>
  </si>
  <si>
    <t xml:space="preserve">Résultat mensuel minimum (MAD)</t>
  </si>
  <si>
    <t xml:space="preserve">MODE D'EMPLOI &amp; AUTOMATISATIONS</t>
  </si>
  <si>
    <t xml:space="preserve">LÉGENDE DES COULEURS</t>
  </si>
  <si>
    <t xml:space="preserve">• Cellules à fond doré clair + texte bleu = zones de SAISIE (modifiables).</t>
  </si>
  <si>
    <t xml:space="preserve">• Cellules blanches à texte noir = FORMULES automatiques (ne pas modifier).</t>
  </si>
  <si>
    <t xml:space="preserve">• Les onglets sont protégés SANS mot de passe : Révision &gt; Ôter la protection de la feuille si besoin.</t>
  </si>
  <si>
    <t xml:space="preserve">• Les lignes d'exemple (marquées « exemple ») sont à remplacer par vos vraies données.</t>
  </si>
  <si>
    <t xml:space="preserve">UTILISATION QUOTIDIENNE</t>
  </si>
  <si>
    <t xml:space="preserve">1. Nouvelle réservation : onglet Réservations, remplir une ligne (ID, Bien, Plateforme, Client, dates, prix/nuit, statut, payé).</t>
  </si>
  <si>
    <t xml:space="preserve">   Les nuits, commissions, frais MG Hôte et net propriétaire se calculent automatiquement.</t>
  </si>
  <si>
    <t xml:space="preserve">2. Annulation : passer le Statut à « Annulée » — la ligne est barrée en rouge et exclue de tous les calculs.</t>
  </si>
  <si>
    <t xml:space="preserve">3. Dépenses / Ménage / Incidents : une ligne par événement dans l'onglet correspondant.</t>
  </si>
  <si>
    <t xml:space="preserve">4. L'onglet Accueil se met à jour tout seul (KPI du jour, alertes, graphiques).</t>
  </si>
  <si>
    <t xml:space="preserve">FACTURE &amp; RAPPORT PDF</t>
  </si>
  <si>
    <t xml:space="preserve">• Onglet Facture : choisir le Bien, le Mois et l'Année → Fichier &gt; Exporter &gt; Créer PDF (ou la macro ci-dessous).</t>
  </si>
  <si>
    <t xml:space="preserve">• Onglet Rapport : choisir Mois/Année → même export PDF. Les zones d'impression sont déjà réglées.</t>
  </si>
  <si>
    <t xml:space="preserve">SAUVEGARDE &amp; SUIVI DES MODIFICATIONS</t>
  </si>
  <si>
    <t xml:space="preserve">• Enregistrez le fichier sur OneDrive : sauvegarde automatique + historique des versions (Fichier &gt; Informations &gt; Historique des versions).</t>
  </si>
  <si>
    <t xml:space="preserve">• Activez la récupération automatique : Fichier &gt; Options &gt; Enregistrement &gt; Enregistrer les informations de récupération toutes les 5 min.</t>
  </si>
  <si>
    <t xml:space="preserve">MACROS (OPTIONNEL) — boutons, formulaire, export PDF</t>
  </si>
  <si>
    <t xml:space="preserve">Pour activer les macros : 1) Enregistrer sous &gt; Type « Classeur Excel (prenant en charge les macros) .xlsm ».</t>
  </si>
  <si>
    <t xml:space="preserve">2) Alt+F11 &gt; Insertion &gt; Module, puis coller le code ci-dessous. 3) Insérer un bouton (Insertion &gt; Formes) et lui affecter la macro.</t>
  </si>
  <si>
    <t xml:space="preserve">'=== MACRO 1 : formulaire d'ajout de réservation ===</t>
  </si>
  <si>
    <t xml:space="preserve">Sub AjouterReservation()</t>
  </si>
  <si>
    <t xml:space="preserve">    Dim ws As Worksheet, r As Long</t>
  </si>
  <si>
    <t xml:space="preserve">    Set ws = Sheets("Réservations"): ws.Unprotect</t>
  </si>
  <si>
    <t xml:space="preserve">    r = ws.Cells(ws.Rows.Count, "D").End(xlUp).Row + 1</t>
  </si>
  <si>
    <t xml:space="preserve">    If r &lt; 4 Then r = 4</t>
  </si>
  <si>
    <t xml:space="preserve">    ws.Cells(r, 1) = "R-" &amp; Format(r - 3, "000")</t>
  </si>
  <si>
    <t xml:space="preserve">    ws.Cells(r, 2) = InputBox("Bien (ex : Bien 1) :")</t>
  </si>
  <si>
    <t xml:space="preserve">    ws.Cells(r, 3) = InputBox("Plateforme (Airbnb / Booking / Directe) :")</t>
  </si>
  <si>
    <t xml:space="preserve">    ws.Cells(r, 4) = InputBox("Nom du client :")</t>
  </si>
  <si>
    <t xml:space="preserve">    ws.Cells(r, 5) = InputBox("Téléphone :")</t>
  </si>
  <si>
    <t xml:space="preserve">    ws.Cells(r, 6) = CDate(InputBox("Date d'arrivée (jj/mm/aaaa) :"))</t>
  </si>
  <si>
    <t xml:space="preserve">    ws.Cells(r, 7) = CDate(InputBox("Date de départ (jj/mm/aaaa) :"))</t>
  </si>
  <si>
    <t xml:space="preserve">    ws.Cells(r, 9) = CDbl(InputBox("Prix par nuit (MAD) :"))</t>
  </si>
  <si>
    <t xml:space="preserve">    ws.Cells(r, 16) = "Confirmée": ws.Cells(r, 17) = "Non": ws.Cells(r, 18) = "En attente"</t>
  </si>
  <si>
    <t xml:space="preserve">    ws.Protect: MsgBox "Réservation ajoutée ligne " &amp; r</t>
  </si>
  <si>
    <t xml:space="preserve">End Sub</t>
  </si>
  <si>
    <t xml:space="preserve">'=== MACRO 2 : exporter la facture en PDF ===</t>
  </si>
  <si>
    <t xml:space="preserve">Sub FacturePDF()</t>
  </si>
  <si>
    <t xml:space="preserve">    Dim f As String</t>
  </si>
  <si>
    <t xml:space="preserve">    f = ThisWorkbook.Path &amp; "\Facture_" &amp; Sheets("Facture").Range("B6") &amp; ".pdf"</t>
  </si>
  <si>
    <t xml:space="preserve">    Sheets("Facture").ExportAsFixedFormat xlTypePDF, f</t>
  </si>
  <si>
    <t xml:space="preserve">    MsgBox "Facture enregistrée : " &amp; f</t>
  </si>
  <si>
    <t xml:space="preserve">'=== MACRO 3 : exporter le rapport mensuel en PDF ===</t>
  </si>
  <si>
    <t xml:space="preserve">Sub RapportPDF()</t>
  </si>
  <si>
    <t xml:space="preserve">    f = ThisWorkbook.Path &amp; "\Rapport_" &amp; Sheets("Rapport").Range("B4") &amp; "_" &amp; Sheets("Rapport").Range("B5") &amp; ".pdf"</t>
  </si>
  <si>
    <t xml:space="preserve">    Sheets("Rapport").ExportAsFixedFormat xlTypePDF, f</t>
  </si>
  <si>
    <t xml:space="preserve">    MsgBox "Rapport enregistré : " &amp; f</t>
  </si>
  <si>
    <t xml:space="preserve">LOGO</t>
  </si>
  <si>
    <t xml:space="preserve">Pour insérer votre logo : onglet Accueil (ou Facture) &gt; Insertion &gt; Images &gt; choisir votre fichier logo, puis le placer en haut à droite.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</si>
</sst>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0.0%"/>
    <numFmt numFmtId="168" formatCode="#,##0&quot; MAD&quot;"/>
    <numFmt numFmtId="169" formatCode="General"/>
    <numFmt numFmtId="170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D4AF37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b val="true"/>
      <sz val="10"/>
      <color rgb="FFD4AF37"/>
      <name val="Arial"/>
      <family val="0"/>
      <charset val="1"/>
    </font>
    <font>
      <b val="true"/>
      <sz val="16"/>
      <color rgb="FF1111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1F4E9C"/>
      <name val="Arial"/>
      <family val="0"/>
      <charset val="1"/>
    </font>
    <font>
      <sz val="10"/>
      <name val="Arial"/>
      <family val="2"/>
    </font>
    <font>
      <b val="true"/>
      <sz val="12"/>
      <color rgb="FFD4AF37"/>
      <name val="Arial"/>
      <family val="0"/>
      <charset val="1"/>
    </font>
    <font>
      <b val="true"/>
      <sz val="11"/>
      <color rgb="FFD4AF37"/>
      <name val="Arial"/>
      <family val="0"/>
      <charset val="1"/>
    </font>
    <font>
      <sz val="9"/>
      <color rgb="FF333333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6ECD4"/>
        <bgColor rgb="FFFDE9D9"/>
      </patternFill>
    </fill>
    <fill>
      <patternFill patternType="solid">
        <fgColor rgb="FFD4AF37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color rgb="FF2E7D32"/>
        <sz val="10"/>
      </font>
    </dxf>
    <dxf>
      <font>
        <name val="Arial"/>
        <charset val="1"/>
        <family val="0"/>
        <strike val="1"/>
        <color rgb="FFC00000"/>
        <sz val="10"/>
      </font>
    </dxf>
    <dxf>
      <font>
        <name val="Arial"/>
        <charset val="1"/>
        <family val="0"/>
        <b val="1"/>
        <color rgb="FFB45F06"/>
        <sz val="10"/>
      </font>
      <fill>
        <patternFill>
          <bgColor rgb="FFFDE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6ECD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66666"/>
      <rgbColor rgb="FF969696"/>
      <rgbColor rgb="FF003366"/>
      <rgbColor rgb="FF2E7D32"/>
      <rgbColor rgb="FF111111"/>
      <rgbColor rgb="FF333300"/>
      <rgbColor rgb="FFB45F06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du CA (année suivie)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Synthèse!D3</c:f>
              <c:strCache>
                <c:ptCount val="1"/>
                <c:pt idx="0">
                  <c:v>CA brut</c:v>
                </c:pt>
              </c:strCache>
            </c:strRef>
          </c:tx>
          <c:spPr>
            <a:solidFill>
              <a:srgbClr val="d4af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Synthèse!$D$4:$D$15</c:f>
              <c:numCache>
                <c:formatCode>#,##0" MAD"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5400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3925"/>
        <c:axId val="95331143"/>
      </c:barChart>
      <c:catAx>
        <c:axId val="83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31143"/>
        <c:crosses val="autoZero"/>
        <c:auto val="1"/>
        <c:lblAlgn val="ctr"/>
        <c:lblOffset val="100"/>
        <c:noMultiLvlLbl val="0"/>
      </c:catAx>
      <c:valAx>
        <c:axId val="95331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d'occupation mensuel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Synthèse!C3</c:f>
              <c:strCache>
                <c:ptCount val="1"/>
                <c:pt idx="0">
                  <c:v>Taux occup.</c:v>
                </c:pt>
              </c:strCache>
            </c:strRef>
          </c:tx>
          <c:spPr>
            <a:solidFill>
              <a:srgbClr val="111111"/>
            </a:solidFill>
            <a:ln w="24840">
              <a:solidFill>
                <a:srgbClr val="1111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Synthèse!$C$4:$C$15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0.258064516129032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197725"/>
        <c:axId val="1641493"/>
      </c:lineChart>
      <c:catAx>
        <c:axId val="471977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1493"/>
        <c:crosses val="autoZero"/>
        <c:auto val="1"/>
        <c:lblAlgn val="ctr"/>
        <c:lblOffset val="100"/>
        <c:noMultiLvlLbl val="0"/>
      </c:catAx>
      <c:valAx>
        <c:axId val="16414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977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4</xdr:col>
      <xdr:colOff>692280</xdr:colOff>
      <xdr:row>44</xdr:row>
      <xdr:rowOff>32760</xdr:rowOff>
    </xdr:to>
    <xdr:graphicFrame>
      <xdr:nvGraphicFramePr>
        <xdr:cNvPr id="0" name="Chart 1"/>
        <xdr:cNvGraphicFramePr/>
      </xdr:nvGraphicFramePr>
      <xdr:xfrm>
        <a:off x="0" y="64962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9</xdr:col>
      <xdr:colOff>781200</xdr:colOff>
      <xdr:row>44</xdr:row>
      <xdr:rowOff>32760</xdr:rowOff>
    </xdr:to>
    <xdr:graphicFrame>
      <xdr:nvGraphicFramePr>
        <xdr:cNvPr id="1" name="Chart 2"/>
        <xdr:cNvGraphicFramePr/>
      </xdr:nvGraphicFramePr>
      <xdr:xfrm>
        <a:off x="6311880" y="64962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3"/>
    <col collapsed="false" customWidth="true" hidden="false" outlineLevel="0" max="10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G3" s="3" t="s">
        <v>2</v>
      </c>
      <c r="H3" s="4" t="n">
        <f aca="true">TODAY()</f>
        <v>46224</v>
      </c>
    </row>
    <row r="4" customFormat="false" ht="15" hidden="false" customHeight="false" outlineLevel="0" collapsed="false">
      <c r="A4" s="5" t="s">
        <v>3</v>
      </c>
    </row>
    <row r="5" customFormat="false" ht="27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customFormat="false" ht="25.5" hidden="false" customHeight="true" outlineLevel="0" collapsed="false">
      <c r="A6" s="7" t="n">
        <f aca="true">COUNTIFS(Réservations!$F$4:$F$303,TODAY(),Réservations!$P$4:$P$303,"&lt;&gt;Annulée")</f>
        <v>1</v>
      </c>
      <c r="B6" s="7" t="n">
        <f aca="true">COUNTIFS(Réservations!$G$4:$G$303,TODAY(),Réservations!$P$4:$P$303,"&lt;&gt;Annulée")</f>
        <v>0</v>
      </c>
      <c r="C6" s="7" t="n">
        <f aca="true">COUNTIFS(Réservations!$F$4:$F$303,"&gt;="&amp;TODAY(),Réservations!$F$4:$F$303,"&lt;="&amp;TODAY()+7,Réservations!$P$4:$P$303,"&lt;&gt;Annulée")</f>
        <v>1</v>
      </c>
      <c r="D6" s="7" t="n">
        <f aca="false">COUNTIF(Ménage!$D$4:$D$203,"En attente")</f>
        <v>1</v>
      </c>
      <c r="E6" s="7" t="n">
        <f aca="true">SUMIFS(Réservations!$H$4:$H$303,Réservations!$T$4:$T$303,MONTH(TODAY()),Réservations!$U$4:$U$303,YEAR(TODAY()),Réservations!$P$4:$P$303,"&lt;&gt;Annulée")</f>
        <v>8</v>
      </c>
    </row>
    <row r="8" customFormat="false" ht="15" hidden="false" customHeight="false" outlineLevel="0" collapsed="false">
      <c r="A8" s="5" t="s">
        <v>9</v>
      </c>
    </row>
    <row r="9" customFormat="false" ht="27.75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</row>
    <row r="10" customFormat="false" ht="25.5" hidden="false" customHeight="true" outlineLevel="0" collapsed="false">
      <c r="A10" s="8" t="n">
        <f aca="true">IF(Paramètres!$B$20=0,0,E6/(DAY(EOMONTH(TODAY(),0))*Paramètres!$B$20))</f>
        <v>0.258064516129032</v>
      </c>
      <c r="B10" s="9" t="n">
        <f aca="true">SUMIFS(Réservations!$J$4:$J$303,Réservations!$T$4:$T$303,MONTH(TODAY()),Réservations!$U$4:$U$303,YEAR(TODAY()),Réservations!$P$4:$P$303,"&lt;&gt;Annulée")</f>
        <v>5400</v>
      </c>
      <c r="C10" s="9" t="n">
        <f aca="true">SUMIFS(Réservations!$N$4:$N$303,Réservations!$T$4:$T$303,MONTH(TODAY()),Réservations!$U$4:$U$303,YEAR(TODAY()),Réservations!$P$4:$P$303,"&lt;&gt;Annulée")</f>
        <v>980.4</v>
      </c>
      <c r="D10" s="9" t="n">
        <f aca="true">SUMIFS(Dépenses!$E$4:$E$303,Dépenses!$F$4:$F$303,MONTH(TODAY()),Dépenses!$G$4:$G$303,YEAR(TODAY()))</f>
        <v>530</v>
      </c>
      <c r="E10" s="9" t="n">
        <f aca="false">C10-D10</f>
        <v>450.4</v>
      </c>
    </row>
    <row r="12" customFormat="false" ht="15" hidden="false" customHeight="false" outlineLevel="0" collapsed="false">
      <c r="A12" s="10" t="s">
        <v>15</v>
      </c>
    </row>
    <row r="13" customFormat="false" ht="15" hidden="false" customHeight="false" outlineLevel="0" collapsed="false">
      <c r="A13" s="11" t="s">
        <v>16</v>
      </c>
      <c r="B13" s="11"/>
      <c r="C13" s="12" t="n">
        <f aca="true">COUNTIFS(Réservations!$Q$4:$Q$303,"Non",Réservations!$G$4:$G$303,"&lt;"&amp;TODAY(),Réservations!$P$4:$P$303,"&lt;&gt;Annulée")</f>
        <v>0</v>
      </c>
      <c r="D13" s="13" t="str">
        <f aca="false">IF(C13&gt;0,"⚠ À traiter","✓ OK")</f>
        <v>✓ OK</v>
      </c>
    </row>
    <row r="14" customFormat="false" ht="15" hidden="false" customHeight="false" outlineLevel="0" collapsed="false">
      <c r="A14" s="11" t="s">
        <v>17</v>
      </c>
      <c r="B14" s="11"/>
      <c r="C14" s="12" t="n">
        <f aca="true">COUNTIFS(Ménage!$D$4:$D$203,"En attente",Ménage!$A$4:$A$203,"&lt;"&amp;TODAY())</f>
        <v>0</v>
      </c>
      <c r="D14" s="13" t="str">
        <f aca="false">IF(C14&gt;0,"⚠ À traiter","✓ OK")</f>
        <v>✓ OK</v>
      </c>
    </row>
    <row r="15" customFormat="false" ht="15" hidden="false" customHeight="false" outlineLevel="0" collapsed="false">
      <c r="A15" s="11" t="s">
        <v>18</v>
      </c>
      <c r="B15" s="11"/>
      <c r="C15" s="12" t="n">
        <f aca="false">IF(E10&lt;Paramètres!$B$24,1,0)</f>
        <v>1</v>
      </c>
      <c r="D15" s="13" t="str">
        <f aca="false">IF(C15&gt;0,"⚠ À traiter","✓ OK")</f>
        <v>⚠ À traiter</v>
      </c>
    </row>
    <row r="16" customFormat="false" ht="15" hidden="false" customHeight="false" outlineLevel="0" collapsed="false">
      <c r="A16" s="11" t="s">
        <v>19</v>
      </c>
      <c r="B16" s="11"/>
      <c r="C16" s="12" t="n">
        <f aca="false">COUNTIF($E$19:$E$28,"À relancer")</f>
        <v>0</v>
      </c>
      <c r="D16" s="13" t="str">
        <f aca="false">IF(C16&gt;0,"⚠ À traiter","✓ OK")</f>
        <v>✓ OK</v>
      </c>
    </row>
    <row r="17" customFormat="false" ht="15" hidden="false" customHeight="false" outlineLevel="0" collapsed="false">
      <c r="A17" s="5" t="s">
        <v>20</v>
      </c>
    </row>
    <row r="18" customFormat="false" ht="15" hidden="false" customHeight="false" outlineLevel="0" collapsed="false">
      <c r="A18" s="6" t="s">
        <v>21</v>
      </c>
      <c r="B18" s="6" t="s">
        <v>22</v>
      </c>
      <c r="C18" s="6" t="s">
        <v>23</v>
      </c>
      <c r="D18" s="6" t="s">
        <v>24</v>
      </c>
      <c r="E18" s="6" t="s">
        <v>25</v>
      </c>
    </row>
    <row r="19" customFormat="false" ht="15" hidden="false" customHeight="false" outlineLevel="0" collapsed="false">
      <c r="A19" s="14" t="str">
        <f aca="false">Paramètres!A9</f>
        <v>Bien 1</v>
      </c>
      <c r="B19" s="14" t="str">
        <f aca="false">Paramètres!B9</f>
        <v>Oui</v>
      </c>
      <c r="C19" s="15" t="n">
        <f aca="false">IF(B19&lt;&gt;"Oui","",IF(_xlfn.MAXIFS(Réservations!$G$4:$G$303,Réservations!$B$4:$B$303,A19)=0,"",_xlfn.MAXIFS(Réservations!$G$4:$G$303,Réservations!$B$4:$B$303,A19)))</f>
        <v>46228</v>
      </c>
      <c r="D19" s="14" t="n">
        <f aca="true">IF(OR(B19&lt;&gt;"Oui",C19=""),"",MAX(0,TODAY()-C19))</f>
        <v>0</v>
      </c>
      <c r="E19" s="14" t="str">
        <f aca="false">IF(OR(B19&lt;&gt;"Oui",D19=""),"",IF(D19&gt;Paramètres!$B$23,"À relancer","OK"))</f>
        <v>OK</v>
      </c>
    </row>
    <row r="20" customFormat="false" ht="15" hidden="false" customHeight="false" outlineLevel="0" collapsed="false">
      <c r="A20" s="14" t="str">
        <f aca="false">Paramètres!A10</f>
        <v>Bien 2</v>
      </c>
      <c r="B20" s="14" t="str">
        <f aca="false">Paramètres!B10</f>
        <v>Non</v>
      </c>
      <c r="C20" s="15" t="str">
        <f aca="false">IF(B20&lt;&gt;"Oui","",IF(_xlfn.MAXIFS(Réservations!$G$4:$G$303,Réservations!$B$4:$B$303,A20)=0,"",_xlfn.MAXIFS(Réservations!$G$4:$G$303,Réservations!$B$4:$B$303,A20)))</f>
        <v/>
      </c>
      <c r="D20" s="14" t="str">
        <f aca="true">IF(OR(B20&lt;&gt;"Oui",C20=""),"",MAX(0,TODAY()-C20))</f>
        <v/>
      </c>
      <c r="E20" s="14" t="str">
        <f aca="false">IF(OR(B20&lt;&gt;"Oui",D20=""),"",IF(D20&gt;Paramètres!$B$23,"À relancer","OK"))</f>
        <v/>
      </c>
    </row>
    <row r="21" customFormat="false" ht="15" hidden="false" customHeight="false" outlineLevel="0" collapsed="false">
      <c r="A21" s="14" t="str">
        <f aca="false">Paramètres!A11</f>
        <v>Bien 3</v>
      </c>
      <c r="B21" s="14" t="str">
        <f aca="false">Paramètres!B11</f>
        <v>Non</v>
      </c>
      <c r="C21" s="15" t="str">
        <f aca="false">IF(B21&lt;&gt;"Oui","",IF(_xlfn.MAXIFS(Réservations!$G$4:$G$303,Réservations!$B$4:$B$303,A21)=0,"",_xlfn.MAXIFS(Réservations!$G$4:$G$303,Réservations!$B$4:$B$303,A21)))</f>
        <v/>
      </c>
      <c r="D21" s="14" t="str">
        <f aca="true">IF(OR(B21&lt;&gt;"Oui",C21=""),"",MAX(0,TODAY()-C21))</f>
        <v/>
      </c>
      <c r="E21" s="14" t="str">
        <f aca="false">IF(OR(B21&lt;&gt;"Oui",D21=""),"",IF(D21&gt;Paramètres!$B$23,"À relancer","OK"))</f>
        <v/>
      </c>
    </row>
    <row r="22" customFormat="false" ht="15" hidden="false" customHeight="false" outlineLevel="0" collapsed="false">
      <c r="A22" s="14" t="str">
        <f aca="false">Paramètres!A12</f>
        <v>Bien 4</v>
      </c>
      <c r="B22" s="14" t="str">
        <f aca="false">Paramètres!B12</f>
        <v>Non</v>
      </c>
      <c r="C22" s="15" t="str">
        <f aca="false">IF(B22&lt;&gt;"Oui","",IF(_xlfn.MAXIFS(Réservations!$G$4:$G$303,Réservations!$B$4:$B$303,A22)=0,"",_xlfn.MAXIFS(Réservations!$G$4:$G$303,Réservations!$B$4:$B$303,A22)))</f>
        <v/>
      </c>
      <c r="D22" s="14" t="str">
        <f aca="true">IF(OR(B22&lt;&gt;"Oui",C22=""),"",MAX(0,TODAY()-C22))</f>
        <v/>
      </c>
      <c r="E22" s="14" t="str">
        <f aca="false">IF(OR(B22&lt;&gt;"Oui",D22=""),"",IF(D22&gt;Paramètres!$B$23,"À relancer","OK"))</f>
        <v/>
      </c>
    </row>
    <row r="23" customFormat="false" ht="15" hidden="false" customHeight="false" outlineLevel="0" collapsed="false">
      <c r="A23" s="14" t="str">
        <f aca="false">Paramètres!A13</f>
        <v>Bien 5</v>
      </c>
      <c r="B23" s="14" t="str">
        <f aca="false">Paramètres!B13</f>
        <v>Non</v>
      </c>
      <c r="C23" s="15" t="str">
        <f aca="false">IF(B23&lt;&gt;"Oui","",IF(_xlfn.MAXIFS(Réservations!$G$4:$G$303,Réservations!$B$4:$B$303,A23)=0,"",_xlfn.MAXIFS(Réservations!$G$4:$G$303,Réservations!$B$4:$B$303,A23)))</f>
        <v/>
      </c>
      <c r="D23" s="14" t="str">
        <f aca="true">IF(OR(B23&lt;&gt;"Oui",C23=""),"",MAX(0,TODAY()-C23))</f>
        <v/>
      </c>
      <c r="E23" s="14" t="str">
        <f aca="false">IF(OR(B23&lt;&gt;"Oui",D23=""),"",IF(D23&gt;Paramètres!$B$23,"À relancer","OK"))</f>
        <v/>
      </c>
    </row>
    <row r="24" customFormat="false" ht="15" hidden="false" customHeight="false" outlineLevel="0" collapsed="false">
      <c r="A24" s="14" t="str">
        <f aca="false">Paramètres!A14</f>
        <v>Bien 6</v>
      </c>
      <c r="B24" s="14" t="str">
        <f aca="false">Paramètres!B14</f>
        <v>Non</v>
      </c>
      <c r="C24" s="15" t="str">
        <f aca="false">IF(B24&lt;&gt;"Oui","",IF(_xlfn.MAXIFS(Réservations!$G$4:$G$303,Réservations!$B$4:$B$303,A24)=0,"",_xlfn.MAXIFS(Réservations!$G$4:$G$303,Réservations!$B$4:$B$303,A24)))</f>
        <v/>
      </c>
      <c r="D24" s="14" t="str">
        <f aca="true">IF(OR(B24&lt;&gt;"Oui",C24=""),"",MAX(0,TODAY()-C24))</f>
        <v/>
      </c>
      <c r="E24" s="14" t="str">
        <f aca="false">IF(OR(B24&lt;&gt;"Oui",D24=""),"",IF(D24&gt;Paramètres!$B$23,"À relancer","OK"))</f>
        <v/>
      </c>
    </row>
    <row r="25" customFormat="false" ht="15" hidden="false" customHeight="false" outlineLevel="0" collapsed="false">
      <c r="A25" s="14" t="str">
        <f aca="false">Paramètres!A15</f>
        <v>Bien 7</v>
      </c>
      <c r="B25" s="14" t="str">
        <f aca="false">Paramètres!B15</f>
        <v>Non</v>
      </c>
      <c r="C25" s="15" t="str">
        <f aca="false">IF(B25&lt;&gt;"Oui","",IF(_xlfn.MAXIFS(Réservations!$G$4:$G$303,Réservations!$B$4:$B$303,A25)=0,"",_xlfn.MAXIFS(Réservations!$G$4:$G$303,Réservations!$B$4:$B$303,A25)))</f>
        <v/>
      </c>
      <c r="D25" s="14" t="str">
        <f aca="true">IF(OR(B25&lt;&gt;"Oui",C25=""),"",MAX(0,TODAY()-C25))</f>
        <v/>
      </c>
      <c r="E25" s="14" t="str">
        <f aca="false">IF(OR(B25&lt;&gt;"Oui",D25=""),"",IF(D25&gt;Paramètres!$B$23,"À relancer","OK"))</f>
        <v/>
      </c>
    </row>
    <row r="26" customFormat="false" ht="15" hidden="false" customHeight="false" outlineLevel="0" collapsed="false">
      <c r="A26" s="14" t="str">
        <f aca="false">Paramètres!A16</f>
        <v>Bien 8</v>
      </c>
      <c r="B26" s="14" t="str">
        <f aca="false">Paramètres!B16</f>
        <v>Non</v>
      </c>
      <c r="C26" s="15" t="str">
        <f aca="false">IF(B26&lt;&gt;"Oui","",IF(_xlfn.MAXIFS(Réservations!$G$4:$G$303,Réservations!$B$4:$B$303,A26)=0,"",_xlfn.MAXIFS(Réservations!$G$4:$G$303,Réservations!$B$4:$B$303,A26)))</f>
        <v/>
      </c>
      <c r="D26" s="14" t="str">
        <f aca="true">IF(OR(B26&lt;&gt;"Oui",C26=""),"",MAX(0,TODAY()-C26))</f>
        <v/>
      </c>
      <c r="E26" s="14" t="str">
        <f aca="false">IF(OR(B26&lt;&gt;"Oui",D26=""),"",IF(D26&gt;Paramètres!$B$23,"À relancer","OK"))</f>
        <v/>
      </c>
    </row>
    <row r="27" customFormat="false" ht="15" hidden="false" customHeight="false" outlineLevel="0" collapsed="false">
      <c r="A27" s="14" t="str">
        <f aca="false">Paramètres!A17</f>
        <v>Bien 9</v>
      </c>
      <c r="B27" s="14" t="str">
        <f aca="false">Paramètres!B17</f>
        <v>Non</v>
      </c>
      <c r="C27" s="15" t="str">
        <f aca="false">IF(B27&lt;&gt;"Oui","",IF(_xlfn.MAXIFS(Réservations!$G$4:$G$303,Réservations!$B$4:$B$303,A27)=0,"",_xlfn.MAXIFS(Réservations!$G$4:$G$303,Réservations!$B$4:$B$303,A27)))</f>
        <v/>
      </c>
      <c r="D27" s="14" t="str">
        <f aca="true">IF(OR(B27&lt;&gt;"Oui",C27=""),"",MAX(0,TODAY()-C27))</f>
        <v/>
      </c>
      <c r="E27" s="14" t="str">
        <f aca="false">IF(OR(B27&lt;&gt;"Oui",D27=""),"",IF(D27&gt;Paramètres!$B$23,"À relancer","OK"))</f>
        <v/>
      </c>
    </row>
    <row r="28" customFormat="false" ht="15" hidden="false" customHeight="false" outlineLevel="0" collapsed="false">
      <c r="A28" s="14" t="str">
        <f aca="false">Paramètres!A18</f>
        <v>Bien 10</v>
      </c>
      <c r="B28" s="14" t="str">
        <f aca="false">Paramètres!B18</f>
        <v>Non</v>
      </c>
      <c r="C28" s="15" t="str">
        <f aca="false">IF(B28&lt;&gt;"Oui","",IF(_xlfn.MAXIFS(Réservations!$G$4:$G$303,Réservations!$B$4:$B$303,A28)=0,"",_xlfn.MAXIFS(Réservations!$G$4:$G$303,Réservations!$B$4:$B$303,A28)))</f>
        <v/>
      </c>
      <c r="D28" s="14" t="str">
        <f aca="true">IF(OR(B28&lt;&gt;"Oui",C28=""),"",MAX(0,TODAY()-C28))</f>
        <v/>
      </c>
      <c r="E28" s="14" t="str">
        <f aca="false">IF(OR(B28&lt;&gt;"Oui",D28=""),"",IF(D28&gt;Paramètres!$B$23,"À relancer","OK"))</f>
        <v/>
      </c>
    </row>
  </sheetData>
  <sheetProtection sheet="true" formatCells="false" formatColumns="false" formatRows="false" sort="false" autoFilter="false"/>
  <mergeCells count="6">
    <mergeCell ref="A1:J1"/>
    <mergeCell ref="A2:J2"/>
    <mergeCell ref="A13:B13"/>
    <mergeCell ref="A14:B14"/>
    <mergeCell ref="A15:B15"/>
    <mergeCell ref="A16:B16"/>
  </mergeCells>
  <conditionalFormatting sqref="C13:D16">
    <cfRule type="expression" priority="2" aboveAverage="0" equalAverage="0" bottom="0" percent="0" rank="0" text="" dxfId="0">
      <formula>$C13&gt;0</formula>
    </cfRule>
    <cfRule type="expression" priority="3" aboveAverage="0" equalAverage="0" bottom="0" percent="0" rank="0" text="" dxfId="1">
      <formula>$C13=0</formula>
    </cfRule>
  </conditionalFormatting>
  <conditionalFormatting sqref="E19:E28">
    <cfRule type="cellIs" priority="4" operator="equal" aboveAverage="0" equalAverage="0" bottom="0" percent="0" rank="0" text="" dxfId="0">
      <formula>"À relancer"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24"/>
    <col collapsed="false" customWidth="true" hidden="true" outlineLevel="0" max="20" min="20" style="0" width="6"/>
    <col collapsed="false" customWidth="true" hidden="true" outlineLevel="0" max="21" min="21" style="0" width="7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3.85" hidden="false" customHeight="false" outlineLevel="0" collapsed="false">
      <c r="A3" s="6" t="s">
        <v>28</v>
      </c>
      <c r="B3" s="6" t="s">
        <v>21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  <c r="Q3" s="6" t="s">
        <v>43</v>
      </c>
      <c r="R3" s="6" t="s">
        <v>44</v>
      </c>
      <c r="S3" s="6" t="s">
        <v>45</v>
      </c>
      <c r="T3" s="6" t="s">
        <v>46</v>
      </c>
      <c r="U3" s="6" t="s">
        <v>47</v>
      </c>
    </row>
    <row r="4" customFormat="false" ht="15" hidden="false" customHeight="false" outlineLevel="0" collapsed="false">
      <c r="A4" s="16" t="s">
        <v>48</v>
      </c>
      <c r="B4" s="16" t="s">
        <v>49</v>
      </c>
      <c r="C4" s="16" t="s">
        <v>50</v>
      </c>
      <c r="D4" s="16" t="s">
        <v>51</v>
      </c>
      <c r="E4" s="16" t="s">
        <v>52</v>
      </c>
      <c r="F4" s="17" t="n">
        <v>46213</v>
      </c>
      <c r="G4" s="17" t="n">
        <v>46217</v>
      </c>
      <c r="H4" s="18" t="n">
        <f aca="false">IF(OR(F4="",G4=""),"",G4-F4)</f>
        <v>4</v>
      </c>
      <c r="I4" s="19" t="n">
        <v>650</v>
      </c>
      <c r="J4" s="20" t="n">
        <f aca="false">IF(OR(H4="",I4=""),"",H4*I4)</f>
        <v>2600</v>
      </c>
      <c r="K4" s="21" t="n">
        <f aca="false">IF(C4="","",IFERROR(INDEX(Paramètres!$E$9:$E$11,MATCH(C4,Paramètres!$D$9:$D$11,0)),0))</f>
        <v>0.03</v>
      </c>
      <c r="L4" s="20" t="n">
        <f aca="false">IF(J4="","",J4*K4)</f>
        <v>78</v>
      </c>
      <c r="M4" s="21" t="n">
        <f aca="false">IF(B4="","",IFERROR(INDEX(Propriétaires!$E$4:$E$13,MATCH(B4,Propriétaires!$A$4:$A$13,0)),0.2))</f>
        <v>0.2</v>
      </c>
      <c r="N4" s="20" t="n">
        <f aca="false">IF(J4="","",(J4-L4)*M4)</f>
        <v>504.4</v>
      </c>
      <c r="O4" s="20" t="n">
        <f aca="false">IF(J4="","",J4-L4-N4)</f>
        <v>2017.6</v>
      </c>
      <c r="P4" s="16" t="s">
        <v>53</v>
      </c>
      <c r="Q4" s="16" t="s">
        <v>54</v>
      </c>
      <c r="R4" s="16" t="s">
        <v>55</v>
      </c>
      <c r="S4" s="16" t="s">
        <v>56</v>
      </c>
      <c r="T4" s="14" t="n">
        <f aca="false">IF(F4="","",MONTH(F4))</f>
        <v>7</v>
      </c>
      <c r="U4" s="14" t="n">
        <f aca="false">IF(F4="","",YEAR(F4))</f>
        <v>2026</v>
      </c>
    </row>
    <row r="5" customFormat="false" ht="15" hidden="false" customHeight="false" outlineLevel="0" collapsed="false">
      <c r="A5" s="16" t="s">
        <v>57</v>
      </c>
      <c r="B5" s="16" t="s">
        <v>49</v>
      </c>
      <c r="C5" s="16" t="s">
        <v>58</v>
      </c>
      <c r="D5" s="16" t="s">
        <v>59</v>
      </c>
      <c r="E5" s="16" t="s">
        <v>60</v>
      </c>
      <c r="F5" s="17" t="n">
        <v>46224</v>
      </c>
      <c r="G5" s="17" t="n">
        <v>46228</v>
      </c>
      <c r="H5" s="18" t="n">
        <f aca="false">IF(OR(F5="",G5=""),"",G5-F5)</f>
        <v>4</v>
      </c>
      <c r="I5" s="19" t="n">
        <v>700</v>
      </c>
      <c r="J5" s="20" t="n">
        <f aca="false">IF(OR(H5="",I5=""),"",H5*I5)</f>
        <v>2800</v>
      </c>
      <c r="K5" s="21" t="n">
        <f aca="false">IF(C5="","",IFERROR(INDEX(Paramètres!$E$9:$E$11,MATCH(C5,Paramètres!$D$9:$D$11,0)),0))</f>
        <v>0.15</v>
      </c>
      <c r="L5" s="20" t="n">
        <f aca="false">IF(J5="","",J5*K5)</f>
        <v>420</v>
      </c>
      <c r="M5" s="21" t="n">
        <f aca="false">IF(B5="","",IFERROR(INDEX(Propriétaires!$E$4:$E$13,MATCH(B5,Propriétaires!$A$4:$A$13,0)),0.2))</f>
        <v>0.2</v>
      </c>
      <c r="N5" s="20" t="n">
        <f aca="false">IF(J5="","",(J5-L5)*M5)</f>
        <v>476</v>
      </c>
      <c r="O5" s="20" t="n">
        <f aca="false">IF(J5="","",J5-L5-N5)</f>
        <v>1904</v>
      </c>
      <c r="P5" s="16" t="s">
        <v>61</v>
      </c>
      <c r="Q5" s="16" t="s">
        <v>62</v>
      </c>
      <c r="R5" s="16" t="s">
        <v>63</v>
      </c>
      <c r="S5" s="16" t="s">
        <v>56</v>
      </c>
      <c r="T5" s="14" t="n">
        <f aca="false">IF(F5="","",MONTH(F5))</f>
        <v>7</v>
      </c>
      <c r="U5" s="14" t="n">
        <f aca="false">IF(F5="","",YEAR(F5))</f>
        <v>2026</v>
      </c>
    </row>
    <row r="6" customFormat="false" ht="15" hidden="false" customHeight="false" outlineLevel="0" collapsed="false">
      <c r="A6" s="16"/>
      <c r="B6" s="16"/>
      <c r="C6" s="16"/>
      <c r="D6" s="16"/>
      <c r="E6" s="16"/>
      <c r="F6" s="17"/>
      <c r="G6" s="17"/>
      <c r="H6" s="18" t="str">
        <f aca="false">IF(OR(F6="",G6=""),"",G6-F6)</f>
        <v/>
      </c>
      <c r="I6" s="19"/>
      <c r="J6" s="20" t="str">
        <f aca="false">IF(OR(H6="",I6=""),"",H6*I6)</f>
        <v/>
      </c>
      <c r="K6" s="21" t="str">
        <f aca="false">IF(C6="","",IFERROR(INDEX(Paramètres!$E$9:$E$11,MATCH(C6,Paramètres!$D$9:$D$11,0)),0))</f>
        <v/>
      </c>
      <c r="L6" s="20" t="str">
        <f aca="false">IF(J6="","",J6*K6)</f>
        <v/>
      </c>
      <c r="M6" s="21" t="str">
        <f aca="false">IF(B6="","",IFERROR(INDEX(Propriétaires!$E$4:$E$13,MATCH(B6,Propriétaires!$A$4:$A$13,0)),0.2))</f>
        <v/>
      </c>
      <c r="N6" s="20" t="str">
        <f aca="false">IF(J6="","",(J6-L6)*M6)</f>
        <v/>
      </c>
      <c r="O6" s="20" t="str">
        <f aca="false">IF(J6="","",J6-L6-N6)</f>
        <v/>
      </c>
      <c r="P6" s="16"/>
      <c r="Q6" s="16"/>
      <c r="R6" s="16"/>
      <c r="S6" s="16"/>
      <c r="T6" s="14" t="str">
        <f aca="false">IF(F6="","",MONTH(F6))</f>
        <v/>
      </c>
      <c r="U6" s="14" t="str">
        <f aca="false">IF(F6="","",YEAR(F6))</f>
        <v/>
      </c>
    </row>
    <row r="7" customFormat="false" ht="15" hidden="false" customHeight="false" outlineLevel="0" collapsed="false">
      <c r="A7" s="16"/>
      <c r="B7" s="16"/>
      <c r="C7" s="16"/>
      <c r="D7" s="16"/>
      <c r="E7" s="16"/>
      <c r="F7" s="17"/>
      <c r="G7" s="17"/>
      <c r="H7" s="18" t="str">
        <f aca="false">IF(OR(F7="",G7=""),"",G7-F7)</f>
        <v/>
      </c>
      <c r="I7" s="19"/>
      <c r="J7" s="20" t="str">
        <f aca="false">IF(OR(H7="",I7=""),"",H7*I7)</f>
        <v/>
      </c>
      <c r="K7" s="21" t="str">
        <f aca="false">IF(C7="","",IFERROR(INDEX(Paramètres!$E$9:$E$11,MATCH(C7,Paramètres!$D$9:$D$11,0)),0))</f>
        <v/>
      </c>
      <c r="L7" s="20" t="str">
        <f aca="false">IF(J7="","",J7*K7)</f>
        <v/>
      </c>
      <c r="M7" s="21" t="str">
        <f aca="false">IF(B7="","",IFERROR(INDEX(Propriétaires!$E$4:$E$13,MATCH(B7,Propriétaires!$A$4:$A$13,0)),0.2))</f>
        <v/>
      </c>
      <c r="N7" s="20" t="str">
        <f aca="false">IF(J7="","",(J7-L7)*M7)</f>
        <v/>
      </c>
      <c r="O7" s="20" t="str">
        <f aca="false">IF(J7="","",J7-L7-N7)</f>
        <v/>
      </c>
      <c r="P7" s="16"/>
      <c r="Q7" s="16"/>
      <c r="R7" s="16"/>
      <c r="S7" s="16"/>
      <c r="T7" s="14" t="str">
        <f aca="false">IF(F7="","",MONTH(F7))</f>
        <v/>
      </c>
      <c r="U7" s="14" t="str">
        <f aca="false">IF(F7="","",YEAR(F7))</f>
        <v/>
      </c>
    </row>
    <row r="8" customFormat="false" ht="15" hidden="false" customHeight="false" outlineLevel="0" collapsed="false">
      <c r="A8" s="16"/>
      <c r="B8" s="16"/>
      <c r="C8" s="16"/>
      <c r="D8" s="16"/>
      <c r="E8" s="16"/>
      <c r="F8" s="17"/>
      <c r="G8" s="17"/>
      <c r="H8" s="18" t="str">
        <f aca="false">IF(OR(F8="",G8=""),"",G8-F8)</f>
        <v/>
      </c>
      <c r="I8" s="19"/>
      <c r="J8" s="20" t="str">
        <f aca="false">IF(OR(H8="",I8=""),"",H8*I8)</f>
        <v/>
      </c>
      <c r="K8" s="21" t="str">
        <f aca="false">IF(C8="","",IFERROR(INDEX(Paramètres!$E$9:$E$11,MATCH(C8,Paramètres!$D$9:$D$11,0)),0))</f>
        <v/>
      </c>
      <c r="L8" s="20" t="str">
        <f aca="false">IF(J8="","",J8*K8)</f>
        <v/>
      </c>
      <c r="M8" s="21" t="str">
        <f aca="false">IF(B8="","",IFERROR(INDEX(Propriétaires!$E$4:$E$13,MATCH(B8,Propriétaires!$A$4:$A$13,0)),0.2))</f>
        <v/>
      </c>
      <c r="N8" s="20" t="str">
        <f aca="false">IF(J8="","",(J8-L8)*M8)</f>
        <v/>
      </c>
      <c r="O8" s="20" t="str">
        <f aca="false">IF(J8="","",J8-L8-N8)</f>
        <v/>
      </c>
      <c r="P8" s="16"/>
      <c r="Q8" s="16"/>
      <c r="R8" s="16"/>
      <c r="S8" s="16"/>
      <c r="T8" s="14" t="str">
        <f aca="false">IF(F8="","",MONTH(F8))</f>
        <v/>
      </c>
      <c r="U8" s="14" t="str">
        <f aca="false">IF(F8="","",YEAR(F8))</f>
        <v/>
      </c>
    </row>
    <row r="9" customFormat="false" ht="15" hidden="false" customHeight="false" outlineLevel="0" collapsed="false">
      <c r="A9" s="16"/>
      <c r="B9" s="16"/>
      <c r="C9" s="16"/>
      <c r="D9" s="16"/>
      <c r="E9" s="16"/>
      <c r="F9" s="17"/>
      <c r="G9" s="17"/>
      <c r="H9" s="18" t="str">
        <f aca="false">IF(OR(F9="",G9=""),"",G9-F9)</f>
        <v/>
      </c>
      <c r="I9" s="19"/>
      <c r="J9" s="20" t="str">
        <f aca="false">IF(OR(H9="",I9=""),"",H9*I9)</f>
        <v/>
      </c>
      <c r="K9" s="21" t="str">
        <f aca="false">IF(C9="","",IFERROR(INDEX(Paramètres!$E$9:$E$11,MATCH(C9,Paramètres!$D$9:$D$11,0)),0))</f>
        <v/>
      </c>
      <c r="L9" s="20" t="str">
        <f aca="false">IF(J9="","",J9*K9)</f>
        <v/>
      </c>
      <c r="M9" s="21" t="str">
        <f aca="false">IF(B9="","",IFERROR(INDEX(Propriétaires!$E$4:$E$13,MATCH(B9,Propriétaires!$A$4:$A$13,0)),0.2))</f>
        <v/>
      </c>
      <c r="N9" s="20" t="str">
        <f aca="false">IF(J9="","",(J9-L9)*M9)</f>
        <v/>
      </c>
      <c r="O9" s="20" t="str">
        <f aca="false">IF(J9="","",J9-L9-N9)</f>
        <v/>
      </c>
      <c r="P9" s="16"/>
      <c r="Q9" s="16"/>
      <c r="R9" s="16"/>
      <c r="S9" s="16"/>
      <c r="T9" s="14" t="str">
        <f aca="false">IF(F9="","",MONTH(F9))</f>
        <v/>
      </c>
      <c r="U9" s="14" t="str">
        <f aca="false">IF(F9="","",YEAR(F9))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7"/>
      <c r="G10" s="17"/>
      <c r="H10" s="18" t="str">
        <f aca="false">IF(OR(F10="",G10=""),"",G10-F10)</f>
        <v/>
      </c>
      <c r="I10" s="19"/>
      <c r="J10" s="20" t="str">
        <f aca="false">IF(OR(H10="",I10=""),"",H10*I10)</f>
        <v/>
      </c>
      <c r="K10" s="21" t="str">
        <f aca="false">IF(C10="","",IFERROR(INDEX(Paramètres!$E$9:$E$11,MATCH(C10,Paramètres!$D$9:$D$11,0)),0))</f>
        <v/>
      </c>
      <c r="L10" s="20" t="str">
        <f aca="false">IF(J10="","",J10*K10)</f>
        <v/>
      </c>
      <c r="M10" s="21" t="str">
        <f aca="false">IF(B10="","",IFERROR(INDEX(Propriétaires!$E$4:$E$13,MATCH(B10,Propriétaires!$A$4:$A$13,0)),0.2))</f>
        <v/>
      </c>
      <c r="N10" s="20" t="str">
        <f aca="false">IF(J10="","",(J10-L10)*M10)</f>
        <v/>
      </c>
      <c r="O10" s="20" t="str">
        <f aca="false">IF(J10="","",J10-L10-N10)</f>
        <v/>
      </c>
      <c r="P10" s="16"/>
      <c r="Q10" s="16"/>
      <c r="R10" s="16"/>
      <c r="S10" s="16"/>
      <c r="T10" s="14" t="str">
        <f aca="false">IF(F10="","",MONTH(F10))</f>
        <v/>
      </c>
      <c r="U10" s="14" t="str">
        <f aca="false">IF(F10="","",YEAR(F10))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7"/>
      <c r="G11" s="17"/>
      <c r="H11" s="18" t="str">
        <f aca="false">IF(OR(F11="",G11=""),"",G11-F11)</f>
        <v/>
      </c>
      <c r="I11" s="19"/>
      <c r="J11" s="20" t="str">
        <f aca="false">IF(OR(H11="",I11=""),"",H11*I11)</f>
        <v/>
      </c>
      <c r="K11" s="21" t="str">
        <f aca="false">IF(C11="","",IFERROR(INDEX(Paramètres!$E$9:$E$11,MATCH(C11,Paramètres!$D$9:$D$11,0)),0))</f>
        <v/>
      </c>
      <c r="L11" s="20" t="str">
        <f aca="false">IF(J11="","",J11*K11)</f>
        <v/>
      </c>
      <c r="M11" s="21" t="str">
        <f aca="false">IF(B11="","",IFERROR(INDEX(Propriétaires!$E$4:$E$13,MATCH(B11,Propriétaires!$A$4:$A$13,0)),0.2))</f>
        <v/>
      </c>
      <c r="N11" s="20" t="str">
        <f aca="false">IF(J11="","",(J11-L11)*M11)</f>
        <v/>
      </c>
      <c r="O11" s="20" t="str">
        <f aca="false">IF(J11="","",J11-L11-N11)</f>
        <v/>
      </c>
      <c r="P11" s="16"/>
      <c r="Q11" s="16"/>
      <c r="R11" s="16"/>
      <c r="S11" s="16"/>
      <c r="T11" s="14" t="str">
        <f aca="false">IF(F11="","",MONTH(F11))</f>
        <v/>
      </c>
      <c r="U11" s="14" t="str">
        <f aca="false">IF(F11="","",YEAR(F11))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7"/>
      <c r="G12" s="17"/>
      <c r="H12" s="18" t="str">
        <f aca="false">IF(OR(F12="",G12=""),"",G12-F12)</f>
        <v/>
      </c>
      <c r="I12" s="19"/>
      <c r="J12" s="20" t="str">
        <f aca="false">IF(OR(H12="",I12=""),"",H12*I12)</f>
        <v/>
      </c>
      <c r="K12" s="21" t="str">
        <f aca="false">IF(C12="","",IFERROR(INDEX(Paramètres!$E$9:$E$11,MATCH(C12,Paramètres!$D$9:$D$11,0)),0))</f>
        <v/>
      </c>
      <c r="L12" s="20" t="str">
        <f aca="false">IF(J12="","",J12*K12)</f>
        <v/>
      </c>
      <c r="M12" s="21" t="str">
        <f aca="false">IF(B12="","",IFERROR(INDEX(Propriétaires!$E$4:$E$13,MATCH(B12,Propriétaires!$A$4:$A$13,0)),0.2))</f>
        <v/>
      </c>
      <c r="N12" s="20" t="str">
        <f aca="false">IF(J12="","",(J12-L12)*M12)</f>
        <v/>
      </c>
      <c r="O12" s="20" t="str">
        <f aca="false">IF(J12="","",J12-L12-N12)</f>
        <v/>
      </c>
      <c r="P12" s="16"/>
      <c r="Q12" s="16"/>
      <c r="R12" s="16"/>
      <c r="S12" s="16"/>
      <c r="T12" s="14" t="str">
        <f aca="false">IF(F12="","",MONTH(F12))</f>
        <v/>
      </c>
      <c r="U12" s="14" t="str">
        <f aca="false">IF(F12="","",YEAR(F12))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7"/>
      <c r="G13" s="17"/>
      <c r="H13" s="18" t="str">
        <f aca="false">IF(OR(F13="",G13=""),"",G13-F13)</f>
        <v/>
      </c>
      <c r="I13" s="19"/>
      <c r="J13" s="20" t="str">
        <f aca="false">IF(OR(H13="",I13=""),"",H13*I13)</f>
        <v/>
      </c>
      <c r="K13" s="21" t="str">
        <f aca="false">IF(C13="","",IFERROR(INDEX(Paramètres!$E$9:$E$11,MATCH(C13,Paramètres!$D$9:$D$11,0)),0))</f>
        <v/>
      </c>
      <c r="L13" s="20" t="str">
        <f aca="false">IF(J13="","",J13*K13)</f>
        <v/>
      </c>
      <c r="M13" s="21" t="str">
        <f aca="false">IF(B13="","",IFERROR(INDEX(Propriétaires!$E$4:$E$13,MATCH(B13,Propriétaires!$A$4:$A$13,0)),0.2))</f>
        <v/>
      </c>
      <c r="N13" s="20" t="str">
        <f aca="false">IF(J13="","",(J13-L13)*M13)</f>
        <v/>
      </c>
      <c r="O13" s="20" t="str">
        <f aca="false">IF(J13="","",J13-L13-N13)</f>
        <v/>
      </c>
      <c r="P13" s="16"/>
      <c r="Q13" s="16"/>
      <c r="R13" s="16"/>
      <c r="S13" s="16"/>
      <c r="T13" s="14" t="str">
        <f aca="false">IF(F13="","",MONTH(F13))</f>
        <v/>
      </c>
      <c r="U13" s="14" t="str">
        <f aca="false">IF(F13="","",YEAR(F13))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7"/>
      <c r="G14" s="17"/>
      <c r="H14" s="18" t="str">
        <f aca="false">IF(OR(F14="",G14=""),"",G14-F14)</f>
        <v/>
      </c>
      <c r="I14" s="19"/>
      <c r="J14" s="20" t="str">
        <f aca="false">IF(OR(H14="",I14=""),"",H14*I14)</f>
        <v/>
      </c>
      <c r="K14" s="21" t="str">
        <f aca="false">IF(C14="","",IFERROR(INDEX(Paramètres!$E$9:$E$11,MATCH(C14,Paramètres!$D$9:$D$11,0)),0))</f>
        <v/>
      </c>
      <c r="L14" s="20" t="str">
        <f aca="false">IF(J14="","",J14*K14)</f>
        <v/>
      </c>
      <c r="M14" s="21" t="str">
        <f aca="false">IF(B14="","",IFERROR(INDEX(Propriétaires!$E$4:$E$13,MATCH(B14,Propriétaires!$A$4:$A$13,0)),0.2))</f>
        <v/>
      </c>
      <c r="N14" s="20" t="str">
        <f aca="false">IF(J14="","",(J14-L14)*M14)</f>
        <v/>
      </c>
      <c r="O14" s="20" t="str">
        <f aca="false">IF(J14="","",J14-L14-N14)</f>
        <v/>
      </c>
      <c r="P14" s="16"/>
      <c r="Q14" s="16"/>
      <c r="R14" s="16"/>
      <c r="S14" s="16"/>
      <c r="T14" s="14" t="str">
        <f aca="false">IF(F14="","",MONTH(F14))</f>
        <v/>
      </c>
      <c r="U14" s="14" t="str">
        <f aca="false">IF(F14="","",YEAR(F14))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7"/>
      <c r="G15" s="17"/>
      <c r="H15" s="18" t="str">
        <f aca="false">IF(OR(F15="",G15=""),"",G15-F15)</f>
        <v/>
      </c>
      <c r="I15" s="19"/>
      <c r="J15" s="20" t="str">
        <f aca="false">IF(OR(H15="",I15=""),"",H15*I15)</f>
        <v/>
      </c>
      <c r="K15" s="21" t="str">
        <f aca="false">IF(C15="","",IFERROR(INDEX(Paramètres!$E$9:$E$11,MATCH(C15,Paramètres!$D$9:$D$11,0)),0))</f>
        <v/>
      </c>
      <c r="L15" s="20" t="str">
        <f aca="false">IF(J15="","",J15*K15)</f>
        <v/>
      </c>
      <c r="M15" s="21" t="str">
        <f aca="false">IF(B15="","",IFERROR(INDEX(Propriétaires!$E$4:$E$13,MATCH(B15,Propriétaires!$A$4:$A$13,0)),0.2))</f>
        <v/>
      </c>
      <c r="N15" s="20" t="str">
        <f aca="false">IF(J15="","",(J15-L15)*M15)</f>
        <v/>
      </c>
      <c r="O15" s="20" t="str">
        <f aca="false">IF(J15="","",J15-L15-N15)</f>
        <v/>
      </c>
      <c r="P15" s="16"/>
      <c r="Q15" s="16"/>
      <c r="R15" s="16"/>
      <c r="S15" s="16"/>
      <c r="T15" s="14" t="str">
        <f aca="false">IF(F15="","",MONTH(F15))</f>
        <v/>
      </c>
      <c r="U15" s="14" t="str">
        <f aca="false">IF(F15="","",YEAR(F15))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7"/>
      <c r="G16" s="17"/>
      <c r="H16" s="18" t="str">
        <f aca="false">IF(OR(F16="",G16=""),"",G16-F16)</f>
        <v/>
      </c>
      <c r="I16" s="19"/>
      <c r="J16" s="20" t="str">
        <f aca="false">IF(OR(H16="",I16=""),"",H16*I16)</f>
        <v/>
      </c>
      <c r="K16" s="21" t="str">
        <f aca="false">IF(C16="","",IFERROR(INDEX(Paramètres!$E$9:$E$11,MATCH(C16,Paramètres!$D$9:$D$11,0)),0))</f>
        <v/>
      </c>
      <c r="L16" s="20" t="str">
        <f aca="false">IF(J16="","",J16*K16)</f>
        <v/>
      </c>
      <c r="M16" s="21" t="str">
        <f aca="false">IF(B16="","",IFERROR(INDEX(Propriétaires!$E$4:$E$13,MATCH(B16,Propriétaires!$A$4:$A$13,0)),0.2))</f>
        <v/>
      </c>
      <c r="N16" s="20" t="str">
        <f aca="false">IF(J16="","",(J16-L16)*M16)</f>
        <v/>
      </c>
      <c r="O16" s="20" t="str">
        <f aca="false">IF(J16="","",J16-L16-N16)</f>
        <v/>
      </c>
      <c r="P16" s="16"/>
      <c r="Q16" s="16"/>
      <c r="R16" s="16"/>
      <c r="S16" s="16"/>
      <c r="T16" s="14" t="str">
        <f aca="false">IF(F16="","",MONTH(F16))</f>
        <v/>
      </c>
      <c r="U16" s="14" t="str">
        <f aca="false">IF(F16="","",YEAR(F16))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7"/>
      <c r="G17" s="17"/>
      <c r="H17" s="18" t="str">
        <f aca="false">IF(OR(F17="",G17=""),"",G17-F17)</f>
        <v/>
      </c>
      <c r="I17" s="19"/>
      <c r="J17" s="20" t="str">
        <f aca="false">IF(OR(H17="",I17=""),"",H17*I17)</f>
        <v/>
      </c>
      <c r="K17" s="21" t="str">
        <f aca="false">IF(C17="","",IFERROR(INDEX(Paramètres!$E$9:$E$11,MATCH(C17,Paramètres!$D$9:$D$11,0)),0))</f>
        <v/>
      </c>
      <c r="L17" s="20" t="str">
        <f aca="false">IF(J17="","",J17*K17)</f>
        <v/>
      </c>
      <c r="M17" s="21" t="str">
        <f aca="false">IF(B17="","",IFERROR(INDEX(Propriétaires!$E$4:$E$13,MATCH(B17,Propriétaires!$A$4:$A$13,0)),0.2))</f>
        <v/>
      </c>
      <c r="N17" s="20" t="str">
        <f aca="false">IF(J17="","",(J17-L17)*M17)</f>
        <v/>
      </c>
      <c r="O17" s="20" t="str">
        <f aca="false">IF(J17="","",J17-L17-N17)</f>
        <v/>
      </c>
      <c r="P17" s="16"/>
      <c r="Q17" s="16"/>
      <c r="R17" s="16"/>
      <c r="S17" s="16"/>
      <c r="T17" s="14" t="str">
        <f aca="false">IF(F17="","",MONTH(F17))</f>
        <v/>
      </c>
      <c r="U17" s="14" t="str">
        <f aca="false">IF(F17="","",YEAR(F17))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7"/>
      <c r="G18" s="17"/>
      <c r="H18" s="18" t="str">
        <f aca="false">IF(OR(F18="",G18=""),"",G18-F18)</f>
        <v/>
      </c>
      <c r="I18" s="19"/>
      <c r="J18" s="20" t="str">
        <f aca="false">IF(OR(H18="",I18=""),"",H18*I18)</f>
        <v/>
      </c>
      <c r="K18" s="21" t="str">
        <f aca="false">IF(C18="","",IFERROR(INDEX(Paramètres!$E$9:$E$11,MATCH(C18,Paramètres!$D$9:$D$11,0)),0))</f>
        <v/>
      </c>
      <c r="L18" s="20" t="str">
        <f aca="false">IF(J18="","",J18*K18)</f>
        <v/>
      </c>
      <c r="M18" s="21" t="str">
        <f aca="false">IF(B18="","",IFERROR(INDEX(Propriétaires!$E$4:$E$13,MATCH(B18,Propriétaires!$A$4:$A$13,0)),0.2))</f>
        <v/>
      </c>
      <c r="N18" s="20" t="str">
        <f aca="false">IF(J18="","",(J18-L18)*M18)</f>
        <v/>
      </c>
      <c r="O18" s="20" t="str">
        <f aca="false">IF(J18="","",J18-L18-N18)</f>
        <v/>
      </c>
      <c r="P18" s="16"/>
      <c r="Q18" s="16"/>
      <c r="R18" s="16"/>
      <c r="S18" s="16"/>
      <c r="T18" s="14" t="str">
        <f aca="false">IF(F18="","",MONTH(F18))</f>
        <v/>
      </c>
      <c r="U18" s="14" t="str">
        <f aca="false">IF(F18="","",YEAR(F18))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7"/>
      <c r="G19" s="17"/>
      <c r="H19" s="18" t="str">
        <f aca="false">IF(OR(F19="",G19=""),"",G19-F19)</f>
        <v/>
      </c>
      <c r="I19" s="19"/>
      <c r="J19" s="20" t="str">
        <f aca="false">IF(OR(H19="",I19=""),"",H19*I19)</f>
        <v/>
      </c>
      <c r="K19" s="21" t="str">
        <f aca="false">IF(C19="","",IFERROR(INDEX(Paramètres!$E$9:$E$11,MATCH(C19,Paramètres!$D$9:$D$11,0)),0))</f>
        <v/>
      </c>
      <c r="L19" s="20" t="str">
        <f aca="false">IF(J19="","",J19*K19)</f>
        <v/>
      </c>
      <c r="M19" s="21" t="str">
        <f aca="false">IF(B19="","",IFERROR(INDEX(Propriétaires!$E$4:$E$13,MATCH(B19,Propriétaires!$A$4:$A$13,0)),0.2))</f>
        <v/>
      </c>
      <c r="N19" s="20" t="str">
        <f aca="false">IF(J19="","",(J19-L19)*M19)</f>
        <v/>
      </c>
      <c r="O19" s="20" t="str">
        <f aca="false">IF(J19="","",J19-L19-N19)</f>
        <v/>
      </c>
      <c r="P19" s="16"/>
      <c r="Q19" s="16"/>
      <c r="R19" s="16"/>
      <c r="S19" s="16"/>
      <c r="T19" s="14" t="str">
        <f aca="false">IF(F19="","",MONTH(F19))</f>
        <v/>
      </c>
      <c r="U19" s="14" t="str">
        <f aca="false">IF(F19="","",YEAR(F19))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7"/>
      <c r="G20" s="17"/>
      <c r="H20" s="18" t="str">
        <f aca="false">IF(OR(F20="",G20=""),"",G20-F20)</f>
        <v/>
      </c>
      <c r="I20" s="19"/>
      <c r="J20" s="20" t="str">
        <f aca="false">IF(OR(H20="",I20=""),"",H20*I20)</f>
        <v/>
      </c>
      <c r="K20" s="21" t="str">
        <f aca="false">IF(C20="","",IFERROR(INDEX(Paramètres!$E$9:$E$11,MATCH(C20,Paramètres!$D$9:$D$11,0)),0))</f>
        <v/>
      </c>
      <c r="L20" s="20" t="str">
        <f aca="false">IF(J20="","",J20*K20)</f>
        <v/>
      </c>
      <c r="M20" s="21" t="str">
        <f aca="false">IF(B20="","",IFERROR(INDEX(Propriétaires!$E$4:$E$13,MATCH(B20,Propriétaires!$A$4:$A$13,0)),0.2))</f>
        <v/>
      </c>
      <c r="N20" s="20" t="str">
        <f aca="false">IF(J20="","",(J20-L20)*M20)</f>
        <v/>
      </c>
      <c r="O20" s="20" t="str">
        <f aca="false">IF(J20="","",J20-L20-N20)</f>
        <v/>
      </c>
      <c r="P20" s="16"/>
      <c r="Q20" s="16"/>
      <c r="R20" s="16"/>
      <c r="S20" s="16"/>
      <c r="T20" s="14" t="str">
        <f aca="false">IF(F20="","",MONTH(F20))</f>
        <v/>
      </c>
      <c r="U20" s="14" t="str">
        <f aca="false">IF(F20="","",YEAR(F20))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7"/>
      <c r="G21" s="17"/>
      <c r="H21" s="18" t="str">
        <f aca="false">IF(OR(F21="",G21=""),"",G21-F21)</f>
        <v/>
      </c>
      <c r="I21" s="19"/>
      <c r="J21" s="20" t="str">
        <f aca="false">IF(OR(H21="",I21=""),"",H21*I21)</f>
        <v/>
      </c>
      <c r="K21" s="21" t="str">
        <f aca="false">IF(C21="","",IFERROR(INDEX(Paramètres!$E$9:$E$11,MATCH(C21,Paramètres!$D$9:$D$11,0)),0))</f>
        <v/>
      </c>
      <c r="L21" s="20" t="str">
        <f aca="false">IF(J21="","",J21*K21)</f>
        <v/>
      </c>
      <c r="M21" s="21" t="str">
        <f aca="false">IF(B21="","",IFERROR(INDEX(Propriétaires!$E$4:$E$13,MATCH(B21,Propriétaires!$A$4:$A$13,0)),0.2))</f>
        <v/>
      </c>
      <c r="N21" s="20" t="str">
        <f aca="false">IF(J21="","",(J21-L21)*M21)</f>
        <v/>
      </c>
      <c r="O21" s="20" t="str">
        <f aca="false">IF(J21="","",J21-L21-N21)</f>
        <v/>
      </c>
      <c r="P21" s="16"/>
      <c r="Q21" s="16"/>
      <c r="R21" s="16"/>
      <c r="S21" s="16"/>
      <c r="T21" s="14" t="str">
        <f aca="false">IF(F21="","",MONTH(F21))</f>
        <v/>
      </c>
      <c r="U21" s="14" t="str">
        <f aca="false">IF(F21="","",YEAR(F21))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7"/>
      <c r="G22" s="17"/>
      <c r="H22" s="18" t="str">
        <f aca="false">IF(OR(F22="",G22=""),"",G22-F22)</f>
        <v/>
      </c>
      <c r="I22" s="19"/>
      <c r="J22" s="20" t="str">
        <f aca="false">IF(OR(H22="",I22=""),"",H22*I22)</f>
        <v/>
      </c>
      <c r="K22" s="21" t="str">
        <f aca="false">IF(C22="","",IFERROR(INDEX(Paramètres!$E$9:$E$11,MATCH(C22,Paramètres!$D$9:$D$11,0)),0))</f>
        <v/>
      </c>
      <c r="L22" s="20" t="str">
        <f aca="false">IF(J22="","",J22*K22)</f>
        <v/>
      </c>
      <c r="M22" s="21" t="str">
        <f aca="false">IF(B22="","",IFERROR(INDEX(Propriétaires!$E$4:$E$13,MATCH(B22,Propriétaires!$A$4:$A$13,0)),0.2))</f>
        <v/>
      </c>
      <c r="N22" s="20" t="str">
        <f aca="false">IF(J22="","",(J22-L22)*M22)</f>
        <v/>
      </c>
      <c r="O22" s="20" t="str">
        <f aca="false">IF(J22="","",J22-L22-N22)</f>
        <v/>
      </c>
      <c r="P22" s="16"/>
      <c r="Q22" s="16"/>
      <c r="R22" s="16"/>
      <c r="S22" s="16"/>
      <c r="T22" s="14" t="str">
        <f aca="false">IF(F22="","",MONTH(F22))</f>
        <v/>
      </c>
      <c r="U22" s="14" t="str">
        <f aca="false">IF(F22="","",YEAR(F22))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7"/>
      <c r="G23" s="17"/>
      <c r="H23" s="18" t="str">
        <f aca="false">IF(OR(F23="",G23=""),"",G23-F23)</f>
        <v/>
      </c>
      <c r="I23" s="19"/>
      <c r="J23" s="20" t="str">
        <f aca="false">IF(OR(H23="",I23=""),"",H23*I23)</f>
        <v/>
      </c>
      <c r="K23" s="21" t="str">
        <f aca="false">IF(C23="","",IFERROR(INDEX(Paramètres!$E$9:$E$11,MATCH(C23,Paramètres!$D$9:$D$11,0)),0))</f>
        <v/>
      </c>
      <c r="L23" s="20" t="str">
        <f aca="false">IF(J23="","",J23*K23)</f>
        <v/>
      </c>
      <c r="M23" s="21" t="str">
        <f aca="false">IF(B23="","",IFERROR(INDEX(Propriétaires!$E$4:$E$13,MATCH(B23,Propriétaires!$A$4:$A$13,0)),0.2))</f>
        <v/>
      </c>
      <c r="N23" s="20" t="str">
        <f aca="false">IF(J23="","",(J23-L23)*M23)</f>
        <v/>
      </c>
      <c r="O23" s="20" t="str">
        <f aca="false">IF(J23="","",J23-L23-N23)</f>
        <v/>
      </c>
      <c r="P23" s="16"/>
      <c r="Q23" s="16"/>
      <c r="R23" s="16"/>
      <c r="S23" s="16"/>
      <c r="T23" s="14" t="str">
        <f aca="false">IF(F23="","",MONTH(F23))</f>
        <v/>
      </c>
      <c r="U23" s="14" t="str">
        <f aca="false">IF(F23="","",YEAR(F23))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7"/>
      <c r="G24" s="17"/>
      <c r="H24" s="18" t="str">
        <f aca="false">IF(OR(F24="",G24=""),"",G24-F24)</f>
        <v/>
      </c>
      <c r="I24" s="19"/>
      <c r="J24" s="20" t="str">
        <f aca="false">IF(OR(H24="",I24=""),"",H24*I24)</f>
        <v/>
      </c>
      <c r="K24" s="21" t="str">
        <f aca="false">IF(C24="","",IFERROR(INDEX(Paramètres!$E$9:$E$11,MATCH(C24,Paramètres!$D$9:$D$11,0)),0))</f>
        <v/>
      </c>
      <c r="L24" s="20" t="str">
        <f aca="false">IF(J24="","",J24*K24)</f>
        <v/>
      </c>
      <c r="M24" s="21" t="str">
        <f aca="false">IF(B24="","",IFERROR(INDEX(Propriétaires!$E$4:$E$13,MATCH(B24,Propriétaires!$A$4:$A$13,0)),0.2))</f>
        <v/>
      </c>
      <c r="N24" s="20" t="str">
        <f aca="false">IF(J24="","",(J24-L24)*M24)</f>
        <v/>
      </c>
      <c r="O24" s="20" t="str">
        <f aca="false">IF(J24="","",J24-L24-N24)</f>
        <v/>
      </c>
      <c r="P24" s="16"/>
      <c r="Q24" s="16"/>
      <c r="R24" s="16"/>
      <c r="S24" s="16"/>
      <c r="T24" s="14" t="str">
        <f aca="false">IF(F24="","",MONTH(F24))</f>
        <v/>
      </c>
      <c r="U24" s="14" t="str">
        <f aca="false">IF(F24="","",YEAR(F24))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7"/>
      <c r="G25" s="17"/>
      <c r="H25" s="18" t="str">
        <f aca="false">IF(OR(F25="",G25=""),"",G25-F25)</f>
        <v/>
      </c>
      <c r="I25" s="19"/>
      <c r="J25" s="20" t="str">
        <f aca="false">IF(OR(H25="",I25=""),"",H25*I25)</f>
        <v/>
      </c>
      <c r="K25" s="21" t="str">
        <f aca="false">IF(C25="","",IFERROR(INDEX(Paramètres!$E$9:$E$11,MATCH(C25,Paramètres!$D$9:$D$11,0)),0))</f>
        <v/>
      </c>
      <c r="L25" s="20" t="str">
        <f aca="false">IF(J25="","",J25*K25)</f>
        <v/>
      </c>
      <c r="M25" s="21" t="str">
        <f aca="false">IF(B25="","",IFERROR(INDEX(Propriétaires!$E$4:$E$13,MATCH(B25,Propriétaires!$A$4:$A$13,0)),0.2))</f>
        <v/>
      </c>
      <c r="N25" s="20" t="str">
        <f aca="false">IF(J25="","",(J25-L25)*M25)</f>
        <v/>
      </c>
      <c r="O25" s="20" t="str">
        <f aca="false">IF(J25="","",J25-L25-N25)</f>
        <v/>
      </c>
      <c r="P25" s="16"/>
      <c r="Q25" s="16"/>
      <c r="R25" s="16"/>
      <c r="S25" s="16"/>
      <c r="T25" s="14" t="str">
        <f aca="false">IF(F25="","",MONTH(F25))</f>
        <v/>
      </c>
      <c r="U25" s="14" t="str">
        <f aca="false">IF(F25="","",YEAR(F25))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7"/>
      <c r="G26" s="17"/>
      <c r="H26" s="18" t="str">
        <f aca="false">IF(OR(F26="",G26=""),"",G26-F26)</f>
        <v/>
      </c>
      <c r="I26" s="19"/>
      <c r="J26" s="20" t="str">
        <f aca="false">IF(OR(H26="",I26=""),"",H26*I26)</f>
        <v/>
      </c>
      <c r="K26" s="21" t="str">
        <f aca="false">IF(C26="","",IFERROR(INDEX(Paramètres!$E$9:$E$11,MATCH(C26,Paramètres!$D$9:$D$11,0)),0))</f>
        <v/>
      </c>
      <c r="L26" s="20" t="str">
        <f aca="false">IF(J26="","",J26*K26)</f>
        <v/>
      </c>
      <c r="M26" s="21" t="str">
        <f aca="false">IF(B26="","",IFERROR(INDEX(Propriétaires!$E$4:$E$13,MATCH(B26,Propriétaires!$A$4:$A$13,0)),0.2))</f>
        <v/>
      </c>
      <c r="N26" s="20" t="str">
        <f aca="false">IF(J26="","",(J26-L26)*M26)</f>
        <v/>
      </c>
      <c r="O26" s="20" t="str">
        <f aca="false">IF(J26="","",J26-L26-N26)</f>
        <v/>
      </c>
      <c r="P26" s="16"/>
      <c r="Q26" s="16"/>
      <c r="R26" s="16"/>
      <c r="S26" s="16"/>
      <c r="T26" s="14" t="str">
        <f aca="false">IF(F26="","",MONTH(F26))</f>
        <v/>
      </c>
      <c r="U26" s="14" t="str">
        <f aca="false">IF(F26="","",YEAR(F26))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7"/>
      <c r="G27" s="17"/>
      <c r="H27" s="18" t="str">
        <f aca="false">IF(OR(F27="",G27=""),"",G27-F27)</f>
        <v/>
      </c>
      <c r="I27" s="19"/>
      <c r="J27" s="20" t="str">
        <f aca="false">IF(OR(H27="",I27=""),"",H27*I27)</f>
        <v/>
      </c>
      <c r="K27" s="21" t="str">
        <f aca="false">IF(C27="","",IFERROR(INDEX(Paramètres!$E$9:$E$11,MATCH(C27,Paramètres!$D$9:$D$11,0)),0))</f>
        <v/>
      </c>
      <c r="L27" s="20" t="str">
        <f aca="false">IF(J27="","",J27*K27)</f>
        <v/>
      </c>
      <c r="M27" s="21" t="str">
        <f aca="false">IF(B27="","",IFERROR(INDEX(Propriétaires!$E$4:$E$13,MATCH(B27,Propriétaires!$A$4:$A$13,0)),0.2))</f>
        <v/>
      </c>
      <c r="N27" s="20" t="str">
        <f aca="false">IF(J27="","",(J27-L27)*M27)</f>
        <v/>
      </c>
      <c r="O27" s="20" t="str">
        <f aca="false">IF(J27="","",J27-L27-N27)</f>
        <v/>
      </c>
      <c r="P27" s="16"/>
      <c r="Q27" s="16"/>
      <c r="R27" s="16"/>
      <c r="S27" s="16"/>
      <c r="T27" s="14" t="str">
        <f aca="false">IF(F27="","",MONTH(F27))</f>
        <v/>
      </c>
      <c r="U27" s="14" t="str">
        <f aca="false">IF(F27="","",YEAR(F27))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7"/>
      <c r="G28" s="17"/>
      <c r="H28" s="18" t="str">
        <f aca="false">IF(OR(F28="",G28=""),"",G28-F28)</f>
        <v/>
      </c>
      <c r="I28" s="19"/>
      <c r="J28" s="20" t="str">
        <f aca="false">IF(OR(H28="",I28=""),"",H28*I28)</f>
        <v/>
      </c>
      <c r="K28" s="21" t="str">
        <f aca="false">IF(C28="","",IFERROR(INDEX(Paramètres!$E$9:$E$11,MATCH(C28,Paramètres!$D$9:$D$11,0)),0))</f>
        <v/>
      </c>
      <c r="L28" s="20" t="str">
        <f aca="false">IF(J28="","",J28*K28)</f>
        <v/>
      </c>
      <c r="M28" s="21" t="str">
        <f aca="false">IF(B28="","",IFERROR(INDEX(Propriétaires!$E$4:$E$13,MATCH(B28,Propriétaires!$A$4:$A$13,0)),0.2))</f>
        <v/>
      </c>
      <c r="N28" s="20" t="str">
        <f aca="false">IF(J28="","",(J28-L28)*M28)</f>
        <v/>
      </c>
      <c r="O28" s="20" t="str">
        <f aca="false">IF(J28="","",J28-L28-N28)</f>
        <v/>
      </c>
      <c r="P28" s="16"/>
      <c r="Q28" s="16"/>
      <c r="R28" s="16"/>
      <c r="S28" s="16"/>
      <c r="T28" s="14" t="str">
        <f aca="false">IF(F28="","",MONTH(F28))</f>
        <v/>
      </c>
      <c r="U28" s="14" t="str">
        <f aca="false">IF(F28="","",YEAR(F28))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7"/>
      <c r="G29" s="17"/>
      <c r="H29" s="18" t="str">
        <f aca="false">IF(OR(F29="",G29=""),"",G29-F29)</f>
        <v/>
      </c>
      <c r="I29" s="19"/>
      <c r="J29" s="20" t="str">
        <f aca="false">IF(OR(H29="",I29=""),"",H29*I29)</f>
        <v/>
      </c>
      <c r="K29" s="21" t="str">
        <f aca="false">IF(C29="","",IFERROR(INDEX(Paramètres!$E$9:$E$11,MATCH(C29,Paramètres!$D$9:$D$11,0)),0))</f>
        <v/>
      </c>
      <c r="L29" s="20" t="str">
        <f aca="false">IF(J29="","",J29*K29)</f>
        <v/>
      </c>
      <c r="M29" s="21" t="str">
        <f aca="false">IF(B29="","",IFERROR(INDEX(Propriétaires!$E$4:$E$13,MATCH(B29,Propriétaires!$A$4:$A$13,0)),0.2))</f>
        <v/>
      </c>
      <c r="N29" s="20" t="str">
        <f aca="false">IF(J29="","",(J29-L29)*M29)</f>
        <v/>
      </c>
      <c r="O29" s="20" t="str">
        <f aca="false">IF(J29="","",J29-L29-N29)</f>
        <v/>
      </c>
      <c r="P29" s="16"/>
      <c r="Q29" s="16"/>
      <c r="R29" s="16"/>
      <c r="S29" s="16"/>
      <c r="T29" s="14" t="str">
        <f aca="false">IF(F29="","",MONTH(F29))</f>
        <v/>
      </c>
      <c r="U29" s="14" t="str">
        <f aca="false">IF(F29="","",YEAR(F29))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7"/>
      <c r="G30" s="17"/>
      <c r="H30" s="18" t="str">
        <f aca="false">IF(OR(F30="",G30=""),"",G30-F30)</f>
        <v/>
      </c>
      <c r="I30" s="19"/>
      <c r="J30" s="20" t="str">
        <f aca="false">IF(OR(H30="",I30=""),"",H30*I30)</f>
        <v/>
      </c>
      <c r="K30" s="21" t="str">
        <f aca="false">IF(C30="","",IFERROR(INDEX(Paramètres!$E$9:$E$11,MATCH(C30,Paramètres!$D$9:$D$11,0)),0))</f>
        <v/>
      </c>
      <c r="L30" s="20" t="str">
        <f aca="false">IF(J30="","",J30*K30)</f>
        <v/>
      </c>
      <c r="M30" s="21" t="str">
        <f aca="false">IF(B30="","",IFERROR(INDEX(Propriétaires!$E$4:$E$13,MATCH(B30,Propriétaires!$A$4:$A$13,0)),0.2))</f>
        <v/>
      </c>
      <c r="N30" s="20" t="str">
        <f aca="false">IF(J30="","",(J30-L30)*M30)</f>
        <v/>
      </c>
      <c r="O30" s="20" t="str">
        <f aca="false">IF(J30="","",J30-L30-N30)</f>
        <v/>
      </c>
      <c r="P30" s="16"/>
      <c r="Q30" s="16"/>
      <c r="R30" s="16"/>
      <c r="S30" s="16"/>
      <c r="T30" s="14" t="str">
        <f aca="false">IF(F30="","",MONTH(F30))</f>
        <v/>
      </c>
      <c r="U30" s="14" t="str">
        <f aca="false">IF(F30="","",YEAR(F30))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7"/>
      <c r="G31" s="17"/>
      <c r="H31" s="18" t="str">
        <f aca="false">IF(OR(F31="",G31=""),"",G31-F31)</f>
        <v/>
      </c>
      <c r="I31" s="19"/>
      <c r="J31" s="20" t="str">
        <f aca="false">IF(OR(H31="",I31=""),"",H31*I31)</f>
        <v/>
      </c>
      <c r="K31" s="21" t="str">
        <f aca="false">IF(C31="","",IFERROR(INDEX(Paramètres!$E$9:$E$11,MATCH(C31,Paramètres!$D$9:$D$11,0)),0))</f>
        <v/>
      </c>
      <c r="L31" s="20" t="str">
        <f aca="false">IF(J31="","",J31*K31)</f>
        <v/>
      </c>
      <c r="M31" s="21" t="str">
        <f aca="false">IF(B31="","",IFERROR(INDEX(Propriétaires!$E$4:$E$13,MATCH(B31,Propriétaires!$A$4:$A$13,0)),0.2))</f>
        <v/>
      </c>
      <c r="N31" s="20" t="str">
        <f aca="false">IF(J31="","",(J31-L31)*M31)</f>
        <v/>
      </c>
      <c r="O31" s="20" t="str">
        <f aca="false">IF(J31="","",J31-L31-N31)</f>
        <v/>
      </c>
      <c r="P31" s="16"/>
      <c r="Q31" s="16"/>
      <c r="R31" s="16"/>
      <c r="S31" s="16"/>
      <c r="T31" s="14" t="str">
        <f aca="false">IF(F31="","",MONTH(F31))</f>
        <v/>
      </c>
      <c r="U31" s="14" t="str">
        <f aca="false">IF(F31="","",YEAR(F31))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7"/>
      <c r="G32" s="17"/>
      <c r="H32" s="18" t="str">
        <f aca="false">IF(OR(F32="",G32=""),"",G32-F32)</f>
        <v/>
      </c>
      <c r="I32" s="19"/>
      <c r="J32" s="20" t="str">
        <f aca="false">IF(OR(H32="",I32=""),"",H32*I32)</f>
        <v/>
      </c>
      <c r="K32" s="21" t="str">
        <f aca="false">IF(C32="","",IFERROR(INDEX(Paramètres!$E$9:$E$11,MATCH(C32,Paramètres!$D$9:$D$11,0)),0))</f>
        <v/>
      </c>
      <c r="L32" s="20" t="str">
        <f aca="false">IF(J32="","",J32*K32)</f>
        <v/>
      </c>
      <c r="M32" s="21" t="str">
        <f aca="false">IF(B32="","",IFERROR(INDEX(Propriétaires!$E$4:$E$13,MATCH(B32,Propriétaires!$A$4:$A$13,0)),0.2))</f>
        <v/>
      </c>
      <c r="N32" s="20" t="str">
        <f aca="false">IF(J32="","",(J32-L32)*M32)</f>
        <v/>
      </c>
      <c r="O32" s="20" t="str">
        <f aca="false">IF(J32="","",J32-L32-N32)</f>
        <v/>
      </c>
      <c r="P32" s="16"/>
      <c r="Q32" s="16"/>
      <c r="R32" s="16"/>
      <c r="S32" s="16"/>
      <c r="T32" s="14" t="str">
        <f aca="false">IF(F32="","",MONTH(F32))</f>
        <v/>
      </c>
      <c r="U32" s="14" t="str">
        <f aca="false">IF(F32="","",YEAR(F32))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7"/>
      <c r="G33" s="17"/>
      <c r="H33" s="18" t="str">
        <f aca="false">IF(OR(F33="",G33=""),"",G33-F33)</f>
        <v/>
      </c>
      <c r="I33" s="19"/>
      <c r="J33" s="20" t="str">
        <f aca="false">IF(OR(H33="",I33=""),"",H33*I33)</f>
        <v/>
      </c>
      <c r="K33" s="21" t="str">
        <f aca="false">IF(C33="","",IFERROR(INDEX(Paramètres!$E$9:$E$11,MATCH(C33,Paramètres!$D$9:$D$11,0)),0))</f>
        <v/>
      </c>
      <c r="L33" s="20" t="str">
        <f aca="false">IF(J33="","",J33*K33)</f>
        <v/>
      </c>
      <c r="M33" s="21" t="str">
        <f aca="false">IF(B33="","",IFERROR(INDEX(Propriétaires!$E$4:$E$13,MATCH(B33,Propriétaires!$A$4:$A$13,0)),0.2))</f>
        <v/>
      </c>
      <c r="N33" s="20" t="str">
        <f aca="false">IF(J33="","",(J33-L33)*M33)</f>
        <v/>
      </c>
      <c r="O33" s="20" t="str">
        <f aca="false">IF(J33="","",J33-L33-N33)</f>
        <v/>
      </c>
      <c r="P33" s="16"/>
      <c r="Q33" s="16"/>
      <c r="R33" s="16"/>
      <c r="S33" s="16"/>
      <c r="T33" s="14" t="str">
        <f aca="false">IF(F33="","",MONTH(F33))</f>
        <v/>
      </c>
      <c r="U33" s="14" t="str">
        <f aca="false">IF(F33="","",YEAR(F33))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7"/>
      <c r="G34" s="17"/>
      <c r="H34" s="18" t="str">
        <f aca="false">IF(OR(F34="",G34=""),"",G34-F34)</f>
        <v/>
      </c>
      <c r="I34" s="19"/>
      <c r="J34" s="20" t="str">
        <f aca="false">IF(OR(H34="",I34=""),"",H34*I34)</f>
        <v/>
      </c>
      <c r="K34" s="21" t="str">
        <f aca="false">IF(C34="","",IFERROR(INDEX(Paramètres!$E$9:$E$11,MATCH(C34,Paramètres!$D$9:$D$11,0)),0))</f>
        <v/>
      </c>
      <c r="L34" s="20" t="str">
        <f aca="false">IF(J34="","",J34*K34)</f>
        <v/>
      </c>
      <c r="M34" s="21" t="str">
        <f aca="false">IF(B34="","",IFERROR(INDEX(Propriétaires!$E$4:$E$13,MATCH(B34,Propriétaires!$A$4:$A$13,0)),0.2))</f>
        <v/>
      </c>
      <c r="N34" s="20" t="str">
        <f aca="false">IF(J34="","",(J34-L34)*M34)</f>
        <v/>
      </c>
      <c r="O34" s="20" t="str">
        <f aca="false">IF(J34="","",J34-L34-N34)</f>
        <v/>
      </c>
      <c r="P34" s="16"/>
      <c r="Q34" s="16"/>
      <c r="R34" s="16"/>
      <c r="S34" s="16"/>
      <c r="T34" s="14" t="str">
        <f aca="false">IF(F34="","",MONTH(F34))</f>
        <v/>
      </c>
      <c r="U34" s="14" t="str">
        <f aca="false">IF(F34="","",YEAR(F34))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7"/>
      <c r="G35" s="17"/>
      <c r="H35" s="18" t="str">
        <f aca="false">IF(OR(F35="",G35=""),"",G35-F35)</f>
        <v/>
      </c>
      <c r="I35" s="19"/>
      <c r="J35" s="20" t="str">
        <f aca="false">IF(OR(H35="",I35=""),"",H35*I35)</f>
        <v/>
      </c>
      <c r="K35" s="21" t="str">
        <f aca="false">IF(C35="","",IFERROR(INDEX(Paramètres!$E$9:$E$11,MATCH(C35,Paramètres!$D$9:$D$11,0)),0))</f>
        <v/>
      </c>
      <c r="L35" s="20" t="str">
        <f aca="false">IF(J35="","",J35*K35)</f>
        <v/>
      </c>
      <c r="M35" s="21" t="str">
        <f aca="false">IF(B35="","",IFERROR(INDEX(Propriétaires!$E$4:$E$13,MATCH(B35,Propriétaires!$A$4:$A$13,0)),0.2))</f>
        <v/>
      </c>
      <c r="N35" s="20" t="str">
        <f aca="false">IF(J35="","",(J35-L35)*M35)</f>
        <v/>
      </c>
      <c r="O35" s="20" t="str">
        <f aca="false">IF(J35="","",J35-L35-N35)</f>
        <v/>
      </c>
      <c r="P35" s="16"/>
      <c r="Q35" s="16"/>
      <c r="R35" s="16"/>
      <c r="S35" s="16"/>
      <c r="T35" s="14" t="str">
        <f aca="false">IF(F35="","",MONTH(F35))</f>
        <v/>
      </c>
      <c r="U35" s="14" t="str">
        <f aca="false">IF(F35="","",YEAR(F35))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7"/>
      <c r="G36" s="17"/>
      <c r="H36" s="18" t="str">
        <f aca="false">IF(OR(F36="",G36=""),"",G36-F36)</f>
        <v/>
      </c>
      <c r="I36" s="19"/>
      <c r="J36" s="20" t="str">
        <f aca="false">IF(OR(H36="",I36=""),"",H36*I36)</f>
        <v/>
      </c>
      <c r="K36" s="21" t="str">
        <f aca="false">IF(C36="","",IFERROR(INDEX(Paramètres!$E$9:$E$11,MATCH(C36,Paramètres!$D$9:$D$11,0)),0))</f>
        <v/>
      </c>
      <c r="L36" s="20" t="str">
        <f aca="false">IF(J36="","",J36*K36)</f>
        <v/>
      </c>
      <c r="M36" s="21" t="str">
        <f aca="false">IF(B36="","",IFERROR(INDEX(Propriétaires!$E$4:$E$13,MATCH(B36,Propriétaires!$A$4:$A$13,0)),0.2))</f>
        <v/>
      </c>
      <c r="N36" s="20" t="str">
        <f aca="false">IF(J36="","",(J36-L36)*M36)</f>
        <v/>
      </c>
      <c r="O36" s="20" t="str">
        <f aca="false">IF(J36="","",J36-L36-N36)</f>
        <v/>
      </c>
      <c r="P36" s="16"/>
      <c r="Q36" s="16"/>
      <c r="R36" s="16"/>
      <c r="S36" s="16"/>
      <c r="T36" s="14" t="str">
        <f aca="false">IF(F36="","",MONTH(F36))</f>
        <v/>
      </c>
      <c r="U36" s="14" t="str">
        <f aca="false">IF(F36="","",YEAR(F36))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7"/>
      <c r="G37" s="17"/>
      <c r="H37" s="18" t="str">
        <f aca="false">IF(OR(F37="",G37=""),"",G37-F37)</f>
        <v/>
      </c>
      <c r="I37" s="19"/>
      <c r="J37" s="20" t="str">
        <f aca="false">IF(OR(H37="",I37=""),"",H37*I37)</f>
        <v/>
      </c>
      <c r="K37" s="21" t="str">
        <f aca="false">IF(C37="","",IFERROR(INDEX(Paramètres!$E$9:$E$11,MATCH(C37,Paramètres!$D$9:$D$11,0)),0))</f>
        <v/>
      </c>
      <c r="L37" s="20" t="str">
        <f aca="false">IF(J37="","",J37*K37)</f>
        <v/>
      </c>
      <c r="M37" s="21" t="str">
        <f aca="false">IF(B37="","",IFERROR(INDEX(Propriétaires!$E$4:$E$13,MATCH(B37,Propriétaires!$A$4:$A$13,0)),0.2))</f>
        <v/>
      </c>
      <c r="N37" s="20" t="str">
        <f aca="false">IF(J37="","",(J37-L37)*M37)</f>
        <v/>
      </c>
      <c r="O37" s="20" t="str">
        <f aca="false">IF(J37="","",J37-L37-N37)</f>
        <v/>
      </c>
      <c r="P37" s="16"/>
      <c r="Q37" s="16"/>
      <c r="R37" s="16"/>
      <c r="S37" s="16"/>
      <c r="T37" s="14" t="str">
        <f aca="false">IF(F37="","",MONTH(F37))</f>
        <v/>
      </c>
      <c r="U37" s="14" t="str">
        <f aca="false">IF(F37="","",YEAR(F37))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7"/>
      <c r="G38" s="17"/>
      <c r="H38" s="18" t="str">
        <f aca="false">IF(OR(F38="",G38=""),"",G38-F38)</f>
        <v/>
      </c>
      <c r="I38" s="19"/>
      <c r="J38" s="20" t="str">
        <f aca="false">IF(OR(H38="",I38=""),"",H38*I38)</f>
        <v/>
      </c>
      <c r="K38" s="21" t="str">
        <f aca="false">IF(C38="","",IFERROR(INDEX(Paramètres!$E$9:$E$11,MATCH(C38,Paramètres!$D$9:$D$11,0)),0))</f>
        <v/>
      </c>
      <c r="L38" s="20" t="str">
        <f aca="false">IF(J38="","",J38*K38)</f>
        <v/>
      </c>
      <c r="M38" s="21" t="str">
        <f aca="false">IF(B38="","",IFERROR(INDEX(Propriétaires!$E$4:$E$13,MATCH(B38,Propriétaires!$A$4:$A$13,0)),0.2))</f>
        <v/>
      </c>
      <c r="N38" s="20" t="str">
        <f aca="false">IF(J38="","",(J38-L38)*M38)</f>
        <v/>
      </c>
      <c r="O38" s="20" t="str">
        <f aca="false">IF(J38="","",J38-L38-N38)</f>
        <v/>
      </c>
      <c r="P38" s="16"/>
      <c r="Q38" s="16"/>
      <c r="R38" s="16"/>
      <c r="S38" s="16"/>
      <c r="T38" s="14" t="str">
        <f aca="false">IF(F38="","",MONTH(F38))</f>
        <v/>
      </c>
      <c r="U38" s="14" t="str">
        <f aca="false">IF(F38="","",YEAR(F38))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7"/>
      <c r="G39" s="17"/>
      <c r="H39" s="18" t="str">
        <f aca="false">IF(OR(F39="",G39=""),"",G39-F39)</f>
        <v/>
      </c>
      <c r="I39" s="19"/>
      <c r="J39" s="20" t="str">
        <f aca="false">IF(OR(H39="",I39=""),"",H39*I39)</f>
        <v/>
      </c>
      <c r="K39" s="21" t="str">
        <f aca="false">IF(C39="","",IFERROR(INDEX(Paramètres!$E$9:$E$11,MATCH(C39,Paramètres!$D$9:$D$11,0)),0))</f>
        <v/>
      </c>
      <c r="L39" s="20" t="str">
        <f aca="false">IF(J39="","",J39*K39)</f>
        <v/>
      </c>
      <c r="M39" s="21" t="str">
        <f aca="false">IF(B39="","",IFERROR(INDEX(Propriétaires!$E$4:$E$13,MATCH(B39,Propriétaires!$A$4:$A$13,0)),0.2))</f>
        <v/>
      </c>
      <c r="N39" s="20" t="str">
        <f aca="false">IF(J39="","",(J39-L39)*M39)</f>
        <v/>
      </c>
      <c r="O39" s="20" t="str">
        <f aca="false">IF(J39="","",J39-L39-N39)</f>
        <v/>
      </c>
      <c r="P39" s="16"/>
      <c r="Q39" s="16"/>
      <c r="R39" s="16"/>
      <c r="S39" s="16"/>
      <c r="T39" s="14" t="str">
        <f aca="false">IF(F39="","",MONTH(F39))</f>
        <v/>
      </c>
      <c r="U39" s="14" t="str">
        <f aca="false">IF(F39="","",YEAR(F39))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7"/>
      <c r="G40" s="17"/>
      <c r="H40" s="18" t="str">
        <f aca="false">IF(OR(F40="",G40=""),"",G40-F40)</f>
        <v/>
      </c>
      <c r="I40" s="19"/>
      <c r="J40" s="20" t="str">
        <f aca="false">IF(OR(H40="",I40=""),"",H40*I40)</f>
        <v/>
      </c>
      <c r="K40" s="21" t="str">
        <f aca="false">IF(C40="","",IFERROR(INDEX(Paramètres!$E$9:$E$11,MATCH(C40,Paramètres!$D$9:$D$11,0)),0))</f>
        <v/>
      </c>
      <c r="L40" s="20" t="str">
        <f aca="false">IF(J40="","",J40*K40)</f>
        <v/>
      </c>
      <c r="M40" s="21" t="str">
        <f aca="false">IF(B40="","",IFERROR(INDEX(Propriétaires!$E$4:$E$13,MATCH(B40,Propriétaires!$A$4:$A$13,0)),0.2))</f>
        <v/>
      </c>
      <c r="N40" s="20" t="str">
        <f aca="false">IF(J40="","",(J40-L40)*M40)</f>
        <v/>
      </c>
      <c r="O40" s="20" t="str">
        <f aca="false">IF(J40="","",J40-L40-N40)</f>
        <v/>
      </c>
      <c r="P40" s="16"/>
      <c r="Q40" s="16"/>
      <c r="R40" s="16"/>
      <c r="S40" s="16"/>
      <c r="T40" s="14" t="str">
        <f aca="false">IF(F40="","",MONTH(F40))</f>
        <v/>
      </c>
      <c r="U40" s="14" t="str">
        <f aca="false">IF(F40="","",YEAR(F40))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7"/>
      <c r="G41" s="17"/>
      <c r="H41" s="18" t="str">
        <f aca="false">IF(OR(F41="",G41=""),"",G41-F41)</f>
        <v/>
      </c>
      <c r="I41" s="19"/>
      <c r="J41" s="20" t="str">
        <f aca="false">IF(OR(H41="",I41=""),"",H41*I41)</f>
        <v/>
      </c>
      <c r="K41" s="21" t="str">
        <f aca="false">IF(C41="","",IFERROR(INDEX(Paramètres!$E$9:$E$11,MATCH(C41,Paramètres!$D$9:$D$11,0)),0))</f>
        <v/>
      </c>
      <c r="L41" s="20" t="str">
        <f aca="false">IF(J41="","",J41*K41)</f>
        <v/>
      </c>
      <c r="M41" s="21" t="str">
        <f aca="false">IF(B41="","",IFERROR(INDEX(Propriétaires!$E$4:$E$13,MATCH(B41,Propriétaires!$A$4:$A$13,0)),0.2))</f>
        <v/>
      </c>
      <c r="N41" s="20" t="str">
        <f aca="false">IF(J41="","",(J41-L41)*M41)</f>
        <v/>
      </c>
      <c r="O41" s="20" t="str">
        <f aca="false">IF(J41="","",J41-L41-N41)</f>
        <v/>
      </c>
      <c r="P41" s="16"/>
      <c r="Q41" s="16"/>
      <c r="R41" s="16"/>
      <c r="S41" s="16"/>
      <c r="T41" s="14" t="str">
        <f aca="false">IF(F41="","",MONTH(F41))</f>
        <v/>
      </c>
      <c r="U41" s="14" t="str">
        <f aca="false">IF(F41="","",YEAR(F41))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7"/>
      <c r="G42" s="17"/>
      <c r="H42" s="18" t="str">
        <f aca="false">IF(OR(F42="",G42=""),"",G42-F42)</f>
        <v/>
      </c>
      <c r="I42" s="19"/>
      <c r="J42" s="20" t="str">
        <f aca="false">IF(OR(H42="",I42=""),"",H42*I42)</f>
        <v/>
      </c>
      <c r="K42" s="21" t="str">
        <f aca="false">IF(C42="","",IFERROR(INDEX(Paramètres!$E$9:$E$11,MATCH(C42,Paramètres!$D$9:$D$11,0)),0))</f>
        <v/>
      </c>
      <c r="L42" s="20" t="str">
        <f aca="false">IF(J42="","",J42*K42)</f>
        <v/>
      </c>
      <c r="M42" s="21" t="str">
        <f aca="false">IF(B42="","",IFERROR(INDEX(Propriétaires!$E$4:$E$13,MATCH(B42,Propriétaires!$A$4:$A$13,0)),0.2))</f>
        <v/>
      </c>
      <c r="N42" s="20" t="str">
        <f aca="false">IF(J42="","",(J42-L42)*M42)</f>
        <v/>
      </c>
      <c r="O42" s="20" t="str">
        <f aca="false">IF(J42="","",J42-L42-N42)</f>
        <v/>
      </c>
      <c r="P42" s="16"/>
      <c r="Q42" s="16"/>
      <c r="R42" s="16"/>
      <c r="S42" s="16"/>
      <c r="T42" s="14" t="str">
        <f aca="false">IF(F42="","",MONTH(F42))</f>
        <v/>
      </c>
      <c r="U42" s="14" t="str">
        <f aca="false">IF(F42="","",YEAR(F42))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7"/>
      <c r="G43" s="17"/>
      <c r="H43" s="18" t="str">
        <f aca="false">IF(OR(F43="",G43=""),"",G43-F43)</f>
        <v/>
      </c>
      <c r="I43" s="19"/>
      <c r="J43" s="20" t="str">
        <f aca="false">IF(OR(H43="",I43=""),"",H43*I43)</f>
        <v/>
      </c>
      <c r="K43" s="21" t="str">
        <f aca="false">IF(C43="","",IFERROR(INDEX(Paramètres!$E$9:$E$11,MATCH(C43,Paramètres!$D$9:$D$11,0)),0))</f>
        <v/>
      </c>
      <c r="L43" s="20" t="str">
        <f aca="false">IF(J43="","",J43*K43)</f>
        <v/>
      </c>
      <c r="M43" s="21" t="str">
        <f aca="false">IF(B43="","",IFERROR(INDEX(Propriétaires!$E$4:$E$13,MATCH(B43,Propriétaires!$A$4:$A$13,0)),0.2))</f>
        <v/>
      </c>
      <c r="N43" s="20" t="str">
        <f aca="false">IF(J43="","",(J43-L43)*M43)</f>
        <v/>
      </c>
      <c r="O43" s="20" t="str">
        <f aca="false">IF(J43="","",J43-L43-N43)</f>
        <v/>
      </c>
      <c r="P43" s="16"/>
      <c r="Q43" s="16"/>
      <c r="R43" s="16"/>
      <c r="S43" s="16"/>
      <c r="T43" s="14" t="str">
        <f aca="false">IF(F43="","",MONTH(F43))</f>
        <v/>
      </c>
      <c r="U43" s="14" t="str">
        <f aca="false">IF(F43="","",YEAR(F43))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7"/>
      <c r="G44" s="17"/>
      <c r="H44" s="18" t="str">
        <f aca="false">IF(OR(F44="",G44=""),"",G44-F44)</f>
        <v/>
      </c>
      <c r="I44" s="19"/>
      <c r="J44" s="20" t="str">
        <f aca="false">IF(OR(H44="",I44=""),"",H44*I44)</f>
        <v/>
      </c>
      <c r="K44" s="21" t="str">
        <f aca="false">IF(C44="","",IFERROR(INDEX(Paramètres!$E$9:$E$11,MATCH(C44,Paramètres!$D$9:$D$11,0)),0))</f>
        <v/>
      </c>
      <c r="L44" s="20" t="str">
        <f aca="false">IF(J44="","",J44*K44)</f>
        <v/>
      </c>
      <c r="M44" s="21" t="str">
        <f aca="false">IF(B44="","",IFERROR(INDEX(Propriétaires!$E$4:$E$13,MATCH(B44,Propriétaires!$A$4:$A$13,0)),0.2))</f>
        <v/>
      </c>
      <c r="N44" s="20" t="str">
        <f aca="false">IF(J44="","",(J44-L44)*M44)</f>
        <v/>
      </c>
      <c r="O44" s="20" t="str">
        <f aca="false">IF(J44="","",J44-L44-N44)</f>
        <v/>
      </c>
      <c r="P44" s="16"/>
      <c r="Q44" s="16"/>
      <c r="R44" s="16"/>
      <c r="S44" s="16"/>
      <c r="T44" s="14" t="str">
        <f aca="false">IF(F44="","",MONTH(F44))</f>
        <v/>
      </c>
      <c r="U44" s="14" t="str">
        <f aca="false">IF(F44="","",YEAR(F44))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7"/>
      <c r="G45" s="17"/>
      <c r="H45" s="18" t="str">
        <f aca="false">IF(OR(F45="",G45=""),"",G45-F45)</f>
        <v/>
      </c>
      <c r="I45" s="19"/>
      <c r="J45" s="20" t="str">
        <f aca="false">IF(OR(H45="",I45=""),"",H45*I45)</f>
        <v/>
      </c>
      <c r="K45" s="21" t="str">
        <f aca="false">IF(C45="","",IFERROR(INDEX(Paramètres!$E$9:$E$11,MATCH(C45,Paramètres!$D$9:$D$11,0)),0))</f>
        <v/>
      </c>
      <c r="L45" s="20" t="str">
        <f aca="false">IF(J45="","",J45*K45)</f>
        <v/>
      </c>
      <c r="M45" s="21" t="str">
        <f aca="false">IF(B45="","",IFERROR(INDEX(Propriétaires!$E$4:$E$13,MATCH(B45,Propriétaires!$A$4:$A$13,0)),0.2))</f>
        <v/>
      </c>
      <c r="N45" s="20" t="str">
        <f aca="false">IF(J45="","",(J45-L45)*M45)</f>
        <v/>
      </c>
      <c r="O45" s="20" t="str">
        <f aca="false">IF(J45="","",J45-L45-N45)</f>
        <v/>
      </c>
      <c r="P45" s="16"/>
      <c r="Q45" s="16"/>
      <c r="R45" s="16"/>
      <c r="S45" s="16"/>
      <c r="T45" s="14" t="str">
        <f aca="false">IF(F45="","",MONTH(F45))</f>
        <v/>
      </c>
      <c r="U45" s="14" t="str">
        <f aca="false">IF(F45="","",YEAR(F45))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7"/>
      <c r="G46" s="17"/>
      <c r="H46" s="18" t="str">
        <f aca="false">IF(OR(F46="",G46=""),"",G46-F46)</f>
        <v/>
      </c>
      <c r="I46" s="19"/>
      <c r="J46" s="20" t="str">
        <f aca="false">IF(OR(H46="",I46=""),"",H46*I46)</f>
        <v/>
      </c>
      <c r="K46" s="21" t="str">
        <f aca="false">IF(C46="","",IFERROR(INDEX(Paramètres!$E$9:$E$11,MATCH(C46,Paramètres!$D$9:$D$11,0)),0))</f>
        <v/>
      </c>
      <c r="L46" s="20" t="str">
        <f aca="false">IF(J46="","",J46*K46)</f>
        <v/>
      </c>
      <c r="M46" s="21" t="str">
        <f aca="false">IF(B46="","",IFERROR(INDEX(Propriétaires!$E$4:$E$13,MATCH(B46,Propriétaires!$A$4:$A$13,0)),0.2))</f>
        <v/>
      </c>
      <c r="N46" s="20" t="str">
        <f aca="false">IF(J46="","",(J46-L46)*M46)</f>
        <v/>
      </c>
      <c r="O46" s="20" t="str">
        <f aca="false">IF(J46="","",J46-L46-N46)</f>
        <v/>
      </c>
      <c r="P46" s="16"/>
      <c r="Q46" s="16"/>
      <c r="R46" s="16"/>
      <c r="S46" s="16"/>
      <c r="T46" s="14" t="str">
        <f aca="false">IF(F46="","",MONTH(F46))</f>
        <v/>
      </c>
      <c r="U46" s="14" t="str">
        <f aca="false">IF(F46="","",YEAR(F46))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7"/>
      <c r="G47" s="17"/>
      <c r="H47" s="18" t="str">
        <f aca="false">IF(OR(F47="",G47=""),"",G47-F47)</f>
        <v/>
      </c>
      <c r="I47" s="19"/>
      <c r="J47" s="20" t="str">
        <f aca="false">IF(OR(H47="",I47=""),"",H47*I47)</f>
        <v/>
      </c>
      <c r="K47" s="21" t="str">
        <f aca="false">IF(C47="","",IFERROR(INDEX(Paramètres!$E$9:$E$11,MATCH(C47,Paramètres!$D$9:$D$11,0)),0))</f>
        <v/>
      </c>
      <c r="L47" s="20" t="str">
        <f aca="false">IF(J47="","",J47*K47)</f>
        <v/>
      </c>
      <c r="M47" s="21" t="str">
        <f aca="false">IF(B47="","",IFERROR(INDEX(Propriétaires!$E$4:$E$13,MATCH(B47,Propriétaires!$A$4:$A$13,0)),0.2))</f>
        <v/>
      </c>
      <c r="N47" s="20" t="str">
        <f aca="false">IF(J47="","",(J47-L47)*M47)</f>
        <v/>
      </c>
      <c r="O47" s="20" t="str">
        <f aca="false">IF(J47="","",J47-L47-N47)</f>
        <v/>
      </c>
      <c r="P47" s="16"/>
      <c r="Q47" s="16"/>
      <c r="R47" s="16"/>
      <c r="S47" s="16"/>
      <c r="T47" s="14" t="str">
        <f aca="false">IF(F47="","",MONTH(F47))</f>
        <v/>
      </c>
      <c r="U47" s="14" t="str">
        <f aca="false">IF(F47="","",YEAR(F47))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7"/>
      <c r="G48" s="17"/>
      <c r="H48" s="18" t="str">
        <f aca="false">IF(OR(F48="",G48=""),"",G48-F48)</f>
        <v/>
      </c>
      <c r="I48" s="19"/>
      <c r="J48" s="20" t="str">
        <f aca="false">IF(OR(H48="",I48=""),"",H48*I48)</f>
        <v/>
      </c>
      <c r="K48" s="21" t="str">
        <f aca="false">IF(C48="","",IFERROR(INDEX(Paramètres!$E$9:$E$11,MATCH(C48,Paramètres!$D$9:$D$11,0)),0))</f>
        <v/>
      </c>
      <c r="L48" s="20" t="str">
        <f aca="false">IF(J48="","",J48*K48)</f>
        <v/>
      </c>
      <c r="M48" s="21" t="str">
        <f aca="false">IF(B48="","",IFERROR(INDEX(Propriétaires!$E$4:$E$13,MATCH(B48,Propriétaires!$A$4:$A$13,0)),0.2))</f>
        <v/>
      </c>
      <c r="N48" s="20" t="str">
        <f aca="false">IF(J48="","",(J48-L48)*M48)</f>
        <v/>
      </c>
      <c r="O48" s="20" t="str">
        <f aca="false">IF(J48="","",J48-L48-N48)</f>
        <v/>
      </c>
      <c r="P48" s="16"/>
      <c r="Q48" s="16"/>
      <c r="R48" s="16"/>
      <c r="S48" s="16"/>
      <c r="T48" s="14" t="str">
        <f aca="false">IF(F48="","",MONTH(F48))</f>
        <v/>
      </c>
      <c r="U48" s="14" t="str">
        <f aca="false">IF(F48="","",YEAR(F48))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7"/>
      <c r="G49" s="17"/>
      <c r="H49" s="18" t="str">
        <f aca="false">IF(OR(F49="",G49=""),"",G49-F49)</f>
        <v/>
      </c>
      <c r="I49" s="19"/>
      <c r="J49" s="20" t="str">
        <f aca="false">IF(OR(H49="",I49=""),"",H49*I49)</f>
        <v/>
      </c>
      <c r="K49" s="21" t="str">
        <f aca="false">IF(C49="","",IFERROR(INDEX(Paramètres!$E$9:$E$11,MATCH(C49,Paramètres!$D$9:$D$11,0)),0))</f>
        <v/>
      </c>
      <c r="L49" s="20" t="str">
        <f aca="false">IF(J49="","",J49*K49)</f>
        <v/>
      </c>
      <c r="M49" s="21" t="str">
        <f aca="false">IF(B49="","",IFERROR(INDEX(Propriétaires!$E$4:$E$13,MATCH(B49,Propriétaires!$A$4:$A$13,0)),0.2))</f>
        <v/>
      </c>
      <c r="N49" s="20" t="str">
        <f aca="false">IF(J49="","",(J49-L49)*M49)</f>
        <v/>
      </c>
      <c r="O49" s="20" t="str">
        <f aca="false">IF(J49="","",J49-L49-N49)</f>
        <v/>
      </c>
      <c r="P49" s="16"/>
      <c r="Q49" s="16"/>
      <c r="R49" s="16"/>
      <c r="S49" s="16"/>
      <c r="T49" s="14" t="str">
        <f aca="false">IF(F49="","",MONTH(F49))</f>
        <v/>
      </c>
      <c r="U49" s="14" t="str">
        <f aca="false">IF(F49="","",YEAR(F49))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7"/>
      <c r="G50" s="17"/>
      <c r="H50" s="18" t="str">
        <f aca="false">IF(OR(F50="",G50=""),"",G50-F50)</f>
        <v/>
      </c>
      <c r="I50" s="19"/>
      <c r="J50" s="20" t="str">
        <f aca="false">IF(OR(H50="",I50=""),"",H50*I50)</f>
        <v/>
      </c>
      <c r="K50" s="21" t="str">
        <f aca="false">IF(C50="","",IFERROR(INDEX(Paramètres!$E$9:$E$11,MATCH(C50,Paramètres!$D$9:$D$11,0)),0))</f>
        <v/>
      </c>
      <c r="L50" s="20" t="str">
        <f aca="false">IF(J50="","",J50*K50)</f>
        <v/>
      </c>
      <c r="M50" s="21" t="str">
        <f aca="false">IF(B50="","",IFERROR(INDEX(Propriétaires!$E$4:$E$13,MATCH(B50,Propriétaires!$A$4:$A$13,0)),0.2))</f>
        <v/>
      </c>
      <c r="N50" s="20" t="str">
        <f aca="false">IF(J50="","",(J50-L50)*M50)</f>
        <v/>
      </c>
      <c r="O50" s="20" t="str">
        <f aca="false">IF(J50="","",J50-L50-N50)</f>
        <v/>
      </c>
      <c r="P50" s="16"/>
      <c r="Q50" s="16"/>
      <c r="R50" s="16"/>
      <c r="S50" s="16"/>
      <c r="T50" s="14" t="str">
        <f aca="false">IF(F50="","",MONTH(F50))</f>
        <v/>
      </c>
      <c r="U50" s="14" t="str">
        <f aca="false">IF(F50="","",YEAR(F50))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7"/>
      <c r="G51" s="17"/>
      <c r="H51" s="18" t="str">
        <f aca="false">IF(OR(F51="",G51=""),"",G51-F51)</f>
        <v/>
      </c>
      <c r="I51" s="19"/>
      <c r="J51" s="20" t="str">
        <f aca="false">IF(OR(H51="",I51=""),"",H51*I51)</f>
        <v/>
      </c>
      <c r="K51" s="21" t="str">
        <f aca="false">IF(C51="","",IFERROR(INDEX(Paramètres!$E$9:$E$11,MATCH(C51,Paramètres!$D$9:$D$11,0)),0))</f>
        <v/>
      </c>
      <c r="L51" s="20" t="str">
        <f aca="false">IF(J51="","",J51*K51)</f>
        <v/>
      </c>
      <c r="M51" s="21" t="str">
        <f aca="false">IF(B51="","",IFERROR(INDEX(Propriétaires!$E$4:$E$13,MATCH(B51,Propriétaires!$A$4:$A$13,0)),0.2))</f>
        <v/>
      </c>
      <c r="N51" s="20" t="str">
        <f aca="false">IF(J51="","",(J51-L51)*M51)</f>
        <v/>
      </c>
      <c r="O51" s="20" t="str">
        <f aca="false">IF(J51="","",J51-L51-N51)</f>
        <v/>
      </c>
      <c r="P51" s="16"/>
      <c r="Q51" s="16"/>
      <c r="R51" s="16"/>
      <c r="S51" s="16"/>
      <c r="T51" s="14" t="str">
        <f aca="false">IF(F51="","",MONTH(F51))</f>
        <v/>
      </c>
      <c r="U51" s="14" t="str">
        <f aca="false">IF(F51="","",YEAR(F51))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7"/>
      <c r="G52" s="17"/>
      <c r="H52" s="18" t="str">
        <f aca="false">IF(OR(F52="",G52=""),"",G52-F52)</f>
        <v/>
      </c>
      <c r="I52" s="19"/>
      <c r="J52" s="20" t="str">
        <f aca="false">IF(OR(H52="",I52=""),"",H52*I52)</f>
        <v/>
      </c>
      <c r="K52" s="21" t="str">
        <f aca="false">IF(C52="","",IFERROR(INDEX(Paramètres!$E$9:$E$11,MATCH(C52,Paramètres!$D$9:$D$11,0)),0))</f>
        <v/>
      </c>
      <c r="L52" s="20" t="str">
        <f aca="false">IF(J52="","",J52*K52)</f>
        <v/>
      </c>
      <c r="M52" s="21" t="str">
        <f aca="false">IF(B52="","",IFERROR(INDEX(Propriétaires!$E$4:$E$13,MATCH(B52,Propriétaires!$A$4:$A$13,0)),0.2))</f>
        <v/>
      </c>
      <c r="N52" s="20" t="str">
        <f aca="false">IF(J52="","",(J52-L52)*M52)</f>
        <v/>
      </c>
      <c r="O52" s="20" t="str">
        <f aca="false">IF(J52="","",J52-L52-N52)</f>
        <v/>
      </c>
      <c r="P52" s="16"/>
      <c r="Q52" s="16"/>
      <c r="R52" s="16"/>
      <c r="S52" s="16"/>
      <c r="T52" s="14" t="str">
        <f aca="false">IF(F52="","",MONTH(F52))</f>
        <v/>
      </c>
      <c r="U52" s="14" t="str">
        <f aca="false">IF(F52="","",YEAR(F52))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7"/>
      <c r="G53" s="17"/>
      <c r="H53" s="18" t="str">
        <f aca="false">IF(OR(F53="",G53=""),"",G53-F53)</f>
        <v/>
      </c>
      <c r="I53" s="19"/>
      <c r="J53" s="20" t="str">
        <f aca="false">IF(OR(H53="",I53=""),"",H53*I53)</f>
        <v/>
      </c>
      <c r="K53" s="21" t="str">
        <f aca="false">IF(C53="","",IFERROR(INDEX(Paramètres!$E$9:$E$11,MATCH(C53,Paramètres!$D$9:$D$11,0)),0))</f>
        <v/>
      </c>
      <c r="L53" s="20" t="str">
        <f aca="false">IF(J53="","",J53*K53)</f>
        <v/>
      </c>
      <c r="M53" s="21" t="str">
        <f aca="false">IF(B53="","",IFERROR(INDEX(Propriétaires!$E$4:$E$13,MATCH(B53,Propriétaires!$A$4:$A$13,0)),0.2))</f>
        <v/>
      </c>
      <c r="N53" s="20" t="str">
        <f aca="false">IF(J53="","",(J53-L53)*M53)</f>
        <v/>
      </c>
      <c r="O53" s="20" t="str">
        <f aca="false">IF(J53="","",J53-L53-N53)</f>
        <v/>
      </c>
      <c r="P53" s="16"/>
      <c r="Q53" s="16"/>
      <c r="R53" s="16"/>
      <c r="S53" s="16"/>
      <c r="T53" s="14" t="str">
        <f aca="false">IF(F53="","",MONTH(F53))</f>
        <v/>
      </c>
      <c r="U53" s="14" t="str">
        <f aca="false">IF(F53="","",YEAR(F53))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7"/>
      <c r="G54" s="17"/>
      <c r="H54" s="18" t="str">
        <f aca="false">IF(OR(F54="",G54=""),"",G54-F54)</f>
        <v/>
      </c>
      <c r="I54" s="19"/>
      <c r="J54" s="20" t="str">
        <f aca="false">IF(OR(H54="",I54=""),"",H54*I54)</f>
        <v/>
      </c>
      <c r="K54" s="21" t="str">
        <f aca="false">IF(C54="","",IFERROR(INDEX(Paramètres!$E$9:$E$11,MATCH(C54,Paramètres!$D$9:$D$11,0)),0))</f>
        <v/>
      </c>
      <c r="L54" s="20" t="str">
        <f aca="false">IF(J54="","",J54*K54)</f>
        <v/>
      </c>
      <c r="M54" s="21" t="str">
        <f aca="false">IF(B54="","",IFERROR(INDEX(Propriétaires!$E$4:$E$13,MATCH(B54,Propriétaires!$A$4:$A$13,0)),0.2))</f>
        <v/>
      </c>
      <c r="N54" s="20" t="str">
        <f aca="false">IF(J54="","",(J54-L54)*M54)</f>
        <v/>
      </c>
      <c r="O54" s="20" t="str">
        <f aca="false">IF(J54="","",J54-L54-N54)</f>
        <v/>
      </c>
      <c r="P54" s="16"/>
      <c r="Q54" s="16"/>
      <c r="R54" s="16"/>
      <c r="S54" s="16"/>
      <c r="T54" s="14" t="str">
        <f aca="false">IF(F54="","",MONTH(F54))</f>
        <v/>
      </c>
      <c r="U54" s="14" t="str">
        <f aca="false">IF(F54="","",YEAR(F54))</f>
        <v/>
      </c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7"/>
      <c r="G55" s="17"/>
      <c r="H55" s="18" t="str">
        <f aca="false">IF(OR(F55="",G55=""),"",G55-F55)</f>
        <v/>
      </c>
      <c r="I55" s="19"/>
      <c r="J55" s="20" t="str">
        <f aca="false">IF(OR(H55="",I55=""),"",H55*I55)</f>
        <v/>
      </c>
      <c r="K55" s="21" t="str">
        <f aca="false">IF(C55="","",IFERROR(INDEX(Paramètres!$E$9:$E$11,MATCH(C55,Paramètres!$D$9:$D$11,0)),0))</f>
        <v/>
      </c>
      <c r="L55" s="20" t="str">
        <f aca="false">IF(J55="","",J55*K55)</f>
        <v/>
      </c>
      <c r="M55" s="21" t="str">
        <f aca="false">IF(B55="","",IFERROR(INDEX(Propriétaires!$E$4:$E$13,MATCH(B55,Propriétaires!$A$4:$A$13,0)),0.2))</f>
        <v/>
      </c>
      <c r="N55" s="20" t="str">
        <f aca="false">IF(J55="","",(J55-L55)*M55)</f>
        <v/>
      </c>
      <c r="O55" s="20" t="str">
        <f aca="false">IF(J55="","",J55-L55-N55)</f>
        <v/>
      </c>
      <c r="P55" s="16"/>
      <c r="Q55" s="16"/>
      <c r="R55" s="16"/>
      <c r="S55" s="16"/>
      <c r="T55" s="14" t="str">
        <f aca="false">IF(F55="","",MONTH(F55))</f>
        <v/>
      </c>
      <c r="U55" s="14" t="str">
        <f aca="false">IF(F55="","",YEAR(F55))</f>
        <v/>
      </c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7"/>
      <c r="G56" s="17"/>
      <c r="H56" s="18" t="str">
        <f aca="false">IF(OR(F56="",G56=""),"",G56-F56)</f>
        <v/>
      </c>
      <c r="I56" s="19"/>
      <c r="J56" s="20" t="str">
        <f aca="false">IF(OR(H56="",I56=""),"",H56*I56)</f>
        <v/>
      </c>
      <c r="K56" s="21" t="str">
        <f aca="false">IF(C56="","",IFERROR(INDEX(Paramètres!$E$9:$E$11,MATCH(C56,Paramètres!$D$9:$D$11,0)),0))</f>
        <v/>
      </c>
      <c r="L56" s="20" t="str">
        <f aca="false">IF(J56="","",J56*K56)</f>
        <v/>
      </c>
      <c r="M56" s="21" t="str">
        <f aca="false">IF(B56="","",IFERROR(INDEX(Propriétaires!$E$4:$E$13,MATCH(B56,Propriétaires!$A$4:$A$13,0)),0.2))</f>
        <v/>
      </c>
      <c r="N56" s="20" t="str">
        <f aca="false">IF(J56="","",(J56-L56)*M56)</f>
        <v/>
      </c>
      <c r="O56" s="20" t="str">
        <f aca="false">IF(J56="","",J56-L56-N56)</f>
        <v/>
      </c>
      <c r="P56" s="16"/>
      <c r="Q56" s="16"/>
      <c r="R56" s="16"/>
      <c r="S56" s="16"/>
      <c r="T56" s="14" t="str">
        <f aca="false">IF(F56="","",MONTH(F56))</f>
        <v/>
      </c>
      <c r="U56" s="14" t="str">
        <f aca="false">IF(F56="","",YEAR(F56))</f>
        <v/>
      </c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7"/>
      <c r="G57" s="17"/>
      <c r="H57" s="18" t="str">
        <f aca="false">IF(OR(F57="",G57=""),"",G57-F57)</f>
        <v/>
      </c>
      <c r="I57" s="19"/>
      <c r="J57" s="20" t="str">
        <f aca="false">IF(OR(H57="",I57=""),"",H57*I57)</f>
        <v/>
      </c>
      <c r="K57" s="21" t="str">
        <f aca="false">IF(C57="","",IFERROR(INDEX(Paramètres!$E$9:$E$11,MATCH(C57,Paramètres!$D$9:$D$11,0)),0))</f>
        <v/>
      </c>
      <c r="L57" s="20" t="str">
        <f aca="false">IF(J57="","",J57*K57)</f>
        <v/>
      </c>
      <c r="M57" s="21" t="str">
        <f aca="false">IF(B57="","",IFERROR(INDEX(Propriétaires!$E$4:$E$13,MATCH(B57,Propriétaires!$A$4:$A$13,0)),0.2))</f>
        <v/>
      </c>
      <c r="N57" s="20" t="str">
        <f aca="false">IF(J57="","",(J57-L57)*M57)</f>
        <v/>
      </c>
      <c r="O57" s="20" t="str">
        <f aca="false">IF(J57="","",J57-L57-N57)</f>
        <v/>
      </c>
      <c r="P57" s="16"/>
      <c r="Q57" s="16"/>
      <c r="R57" s="16"/>
      <c r="S57" s="16"/>
      <c r="T57" s="14" t="str">
        <f aca="false">IF(F57="","",MONTH(F57))</f>
        <v/>
      </c>
      <c r="U57" s="14" t="str">
        <f aca="false">IF(F57="","",YEAR(F57))</f>
        <v/>
      </c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7"/>
      <c r="G58" s="17"/>
      <c r="H58" s="18" t="str">
        <f aca="false">IF(OR(F58="",G58=""),"",G58-F58)</f>
        <v/>
      </c>
      <c r="I58" s="19"/>
      <c r="J58" s="20" t="str">
        <f aca="false">IF(OR(H58="",I58=""),"",H58*I58)</f>
        <v/>
      </c>
      <c r="K58" s="21" t="str">
        <f aca="false">IF(C58="","",IFERROR(INDEX(Paramètres!$E$9:$E$11,MATCH(C58,Paramètres!$D$9:$D$11,0)),0))</f>
        <v/>
      </c>
      <c r="L58" s="20" t="str">
        <f aca="false">IF(J58="","",J58*K58)</f>
        <v/>
      </c>
      <c r="M58" s="21" t="str">
        <f aca="false">IF(B58="","",IFERROR(INDEX(Propriétaires!$E$4:$E$13,MATCH(B58,Propriétaires!$A$4:$A$13,0)),0.2))</f>
        <v/>
      </c>
      <c r="N58" s="20" t="str">
        <f aca="false">IF(J58="","",(J58-L58)*M58)</f>
        <v/>
      </c>
      <c r="O58" s="20" t="str">
        <f aca="false">IF(J58="","",J58-L58-N58)</f>
        <v/>
      </c>
      <c r="P58" s="16"/>
      <c r="Q58" s="16"/>
      <c r="R58" s="16"/>
      <c r="S58" s="16"/>
      <c r="T58" s="14" t="str">
        <f aca="false">IF(F58="","",MONTH(F58))</f>
        <v/>
      </c>
      <c r="U58" s="14" t="str">
        <f aca="false">IF(F58="","",YEAR(F58))</f>
        <v/>
      </c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7"/>
      <c r="G59" s="17"/>
      <c r="H59" s="18" t="str">
        <f aca="false">IF(OR(F59="",G59=""),"",G59-F59)</f>
        <v/>
      </c>
      <c r="I59" s="19"/>
      <c r="J59" s="20" t="str">
        <f aca="false">IF(OR(H59="",I59=""),"",H59*I59)</f>
        <v/>
      </c>
      <c r="K59" s="21" t="str">
        <f aca="false">IF(C59="","",IFERROR(INDEX(Paramètres!$E$9:$E$11,MATCH(C59,Paramètres!$D$9:$D$11,0)),0))</f>
        <v/>
      </c>
      <c r="L59" s="20" t="str">
        <f aca="false">IF(J59="","",J59*K59)</f>
        <v/>
      </c>
      <c r="M59" s="21" t="str">
        <f aca="false">IF(B59="","",IFERROR(INDEX(Propriétaires!$E$4:$E$13,MATCH(B59,Propriétaires!$A$4:$A$13,0)),0.2))</f>
        <v/>
      </c>
      <c r="N59" s="20" t="str">
        <f aca="false">IF(J59="","",(J59-L59)*M59)</f>
        <v/>
      </c>
      <c r="O59" s="20" t="str">
        <f aca="false">IF(J59="","",J59-L59-N59)</f>
        <v/>
      </c>
      <c r="P59" s="16"/>
      <c r="Q59" s="16"/>
      <c r="R59" s="16"/>
      <c r="S59" s="16"/>
      <c r="T59" s="14" t="str">
        <f aca="false">IF(F59="","",MONTH(F59))</f>
        <v/>
      </c>
      <c r="U59" s="14" t="str">
        <f aca="false">IF(F59="","",YEAR(F59))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7"/>
      <c r="G60" s="17"/>
      <c r="H60" s="18" t="str">
        <f aca="false">IF(OR(F60="",G60=""),"",G60-F60)</f>
        <v/>
      </c>
      <c r="I60" s="19"/>
      <c r="J60" s="20" t="str">
        <f aca="false">IF(OR(H60="",I60=""),"",H60*I60)</f>
        <v/>
      </c>
      <c r="K60" s="21" t="str">
        <f aca="false">IF(C60="","",IFERROR(INDEX(Paramètres!$E$9:$E$11,MATCH(C60,Paramètres!$D$9:$D$11,0)),0))</f>
        <v/>
      </c>
      <c r="L60" s="20" t="str">
        <f aca="false">IF(J60="","",J60*K60)</f>
        <v/>
      </c>
      <c r="M60" s="21" t="str">
        <f aca="false">IF(B60="","",IFERROR(INDEX(Propriétaires!$E$4:$E$13,MATCH(B60,Propriétaires!$A$4:$A$13,0)),0.2))</f>
        <v/>
      </c>
      <c r="N60" s="20" t="str">
        <f aca="false">IF(J60="","",(J60-L60)*M60)</f>
        <v/>
      </c>
      <c r="O60" s="20" t="str">
        <f aca="false">IF(J60="","",J60-L60-N60)</f>
        <v/>
      </c>
      <c r="P60" s="16"/>
      <c r="Q60" s="16"/>
      <c r="R60" s="16"/>
      <c r="S60" s="16"/>
      <c r="T60" s="14" t="str">
        <f aca="false">IF(F60="","",MONTH(F60))</f>
        <v/>
      </c>
      <c r="U60" s="14" t="str">
        <f aca="false">IF(F60="","",YEAR(F60))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7"/>
      <c r="G61" s="17"/>
      <c r="H61" s="18" t="str">
        <f aca="false">IF(OR(F61="",G61=""),"",G61-F61)</f>
        <v/>
      </c>
      <c r="I61" s="19"/>
      <c r="J61" s="20" t="str">
        <f aca="false">IF(OR(H61="",I61=""),"",H61*I61)</f>
        <v/>
      </c>
      <c r="K61" s="21" t="str">
        <f aca="false">IF(C61="","",IFERROR(INDEX(Paramètres!$E$9:$E$11,MATCH(C61,Paramètres!$D$9:$D$11,0)),0))</f>
        <v/>
      </c>
      <c r="L61" s="20" t="str">
        <f aca="false">IF(J61="","",J61*K61)</f>
        <v/>
      </c>
      <c r="M61" s="21" t="str">
        <f aca="false">IF(B61="","",IFERROR(INDEX(Propriétaires!$E$4:$E$13,MATCH(B61,Propriétaires!$A$4:$A$13,0)),0.2))</f>
        <v/>
      </c>
      <c r="N61" s="20" t="str">
        <f aca="false">IF(J61="","",(J61-L61)*M61)</f>
        <v/>
      </c>
      <c r="O61" s="20" t="str">
        <f aca="false">IF(J61="","",J61-L61-N61)</f>
        <v/>
      </c>
      <c r="P61" s="16"/>
      <c r="Q61" s="16"/>
      <c r="R61" s="16"/>
      <c r="S61" s="16"/>
      <c r="T61" s="14" t="str">
        <f aca="false">IF(F61="","",MONTH(F61))</f>
        <v/>
      </c>
      <c r="U61" s="14" t="str">
        <f aca="false">IF(F61="","",YEAR(F61))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7"/>
      <c r="G62" s="17"/>
      <c r="H62" s="18" t="str">
        <f aca="false">IF(OR(F62="",G62=""),"",G62-F62)</f>
        <v/>
      </c>
      <c r="I62" s="19"/>
      <c r="J62" s="20" t="str">
        <f aca="false">IF(OR(H62="",I62=""),"",H62*I62)</f>
        <v/>
      </c>
      <c r="K62" s="21" t="str">
        <f aca="false">IF(C62="","",IFERROR(INDEX(Paramètres!$E$9:$E$11,MATCH(C62,Paramètres!$D$9:$D$11,0)),0))</f>
        <v/>
      </c>
      <c r="L62" s="20" t="str">
        <f aca="false">IF(J62="","",J62*K62)</f>
        <v/>
      </c>
      <c r="M62" s="21" t="str">
        <f aca="false">IF(B62="","",IFERROR(INDEX(Propriétaires!$E$4:$E$13,MATCH(B62,Propriétaires!$A$4:$A$13,0)),0.2))</f>
        <v/>
      </c>
      <c r="N62" s="20" t="str">
        <f aca="false">IF(J62="","",(J62-L62)*M62)</f>
        <v/>
      </c>
      <c r="O62" s="20" t="str">
        <f aca="false">IF(J62="","",J62-L62-N62)</f>
        <v/>
      </c>
      <c r="P62" s="16"/>
      <c r="Q62" s="16"/>
      <c r="R62" s="16"/>
      <c r="S62" s="16"/>
      <c r="T62" s="14" t="str">
        <f aca="false">IF(F62="","",MONTH(F62))</f>
        <v/>
      </c>
      <c r="U62" s="14" t="str">
        <f aca="false">IF(F62="","",YEAR(F62))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7"/>
      <c r="G63" s="17"/>
      <c r="H63" s="18" t="str">
        <f aca="false">IF(OR(F63="",G63=""),"",G63-F63)</f>
        <v/>
      </c>
      <c r="I63" s="19"/>
      <c r="J63" s="20" t="str">
        <f aca="false">IF(OR(H63="",I63=""),"",H63*I63)</f>
        <v/>
      </c>
      <c r="K63" s="21" t="str">
        <f aca="false">IF(C63="","",IFERROR(INDEX(Paramètres!$E$9:$E$11,MATCH(C63,Paramètres!$D$9:$D$11,0)),0))</f>
        <v/>
      </c>
      <c r="L63" s="20" t="str">
        <f aca="false">IF(J63="","",J63*K63)</f>
        <v/>
      </c>
      <c r="M63" s="21" t="str">
        <f aca="false">IF(B63="","",IFERROR(INDEX(Propriétaires!$E$4:$E$13,MATCH(B63,Propriétaires!$A$4:$A$13,0)),0.2))</f>
        <v/>
      </c>
      <c r="N63" s="20" t="str">
        <f aca="false">IF(J63="","",(J63-L63)*M63)</f>
        <v/>
      </c>
      <c r="O63" s="20" t="str">
        <f aca="false">IF(J63="","",J63-L63-N63)</f>
        <v/>
      </c>
      <c r="P63" s="16"/>
      <c r="Q63" s="16"/>
      <c r="R63" s="16"/>
      <c r="S63" s="16"/>
      <c r="T63" s="14" t="str">
        <f aca="false">IF(F63="","",MONTH(F63))</f>
        <v/>
      </c>
      <c r="U63" s="14" t="str">
        <f aca="false">IF(F63="","",YEAR(F63))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7"/>
      <c r="G64" s="17"/>
      <c r="H64" s="18" t="str">
        <f aca="false">IF(OR(F64="",G64=""),"",G64-F64)</f>
        <v/>
      </c>
      <c r="I64" s="19"/>
      <c r="J64" s="20" t="str">
        <f aca="false">IF(OR(H64="",I64=""),"",H64*I64)</f>
        <v/>
      </c>
      <c r="K64" s="21" t="str">
        <f aca="false">IF(C64="","",IFERROR(INDEX(Paramètres!$E$9:$E$11,MATCH(C64,Paramètres!$D$9:$D$11,0)),0))</f>
        <v/>
      </c>
      <c r="L64" s="20" t="str">
        <f aca="false">IF(J64="","",J64*K64)</f>
        <v/>
      </c>
      <c r="M64" s="21" t="str">
        <f aca="false">IF(B64="","",IFERROR(INDEX(Propriétaires!$E$4:$E$13,MATCH(B64,Propriétaires!$A$4:$A$13,0)),0.2))</f>
        <v/>
      </c>
      <c r="N64" s="20" t="str">
        <f aca="false">IF(J64="","",(J64-L64)*M64)</f>
        <v/>
      </c>
      <c r="O64" s="20" t="str">
        <f aca="false">IF(J64="","",J64-L64-N64)</f>
        <v/>
      </c>
      <c r="P64" s="16"/>
      <c r="Q64" s="16"/>
      <c r="R64" s="16"/>
      <c r="S64" s="16"/>
      <c r="T64" s="14" t="str">
        <f aca="false">IF(F64="","",MONTH(F64))</f>
        <v/>
      </c>
      <c r="U64" s="14" t="str">
        <f aca="false">IF(F64="","",YEAR(F64))</f>
        <v/>
      </c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7"/>
      <c r="G65" s="17"/>
      <c r="H65" s="18" t="str">
        <f aca="false">IF(OR(F65="",G65=""),"",G65-F65)</f>
        <v/>
      </c>
      <c r="I65" s="19"/>
      <c r="J65" s="20" t="str">
        <f aca="false">IF(OR(H65="",I65=""),"",H65*I65)</f>
        <v/>
      </c>
      <c r="K65" s="21" t="str">
        <f aca="false">IF(C65="","",IFERROR(INDEX(Paramètres!$E$9:$E$11,MATCH(C65,Paramètres!$D$9:$D$11,0)),0))</f>
        <v/>
      </c>
      <c r="L65" s="20" t="str">
        <f aca="false">IF(J65="","",J65*K65)</f>
        <v/>
      </c>
      <c r="M65" s="21" t="str">
        <f aca="false">IF(B65="","",IFERROR(INDEX(Propriétaires!$E$4:$E$13,MATCH(B65,Propriétaires!$A$4:$A$13,0)),0.2))</f>
        <v/>
      </c>
      <c r="N65" s="20" t="str">
        <f aca="false">IF(J65="","",(J65-L65)*M65)</f>
        <v/>
      </c>
      <c r="O65" s="20" t="str">
        <f aca="false">IF(J65="","",J65-L65-N65)</f>
        <v/>
      </c>
      <c r="P65" s="16"/>
      <c r="Q65" s="16"/>
      <c r="R65" s="16"/>
      <c r="S65" s="16"/>
      <c r="T65" s="14" t="str">
        <f aca="false">IF(F65="","",MONTH(F65))</f>
        <v/>
      </c>
      <c r="U65" s="14" t="str">
        <f aca="false">IF(F65="","",YEAR(F65))</f>
        <v/>
      </c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7"/>
      <c r="G66" s="17"/>
      <c r="H66" s="18" t="str">
        <f aca="false">IF(OR(F66="",G66=""),"",G66-F66)</f>
        <v/>
      </c>
      <c r="I66" s="19"/>
      <c r="J66" s="20" t="str">
        <f aca="false">IF(OR(H66="",I66=""),"",H66*I66)</f>
        <v/>
      </c>
      <c r="K66" s="21" t="str">
        <f aca="false">IF(C66="","",IFERROR(INDEX(Paramètres!$E$9:$E$11,MATCH(C66,Paramètres!$D$9:$D$11,0)),0))</f>
        <v/>
      </c>
      <c r="L66" s="20" t="str">
        <f aca="false">IF(J66="","",J66*K66)</f>
        <v/>
      </c>
      <c r="M66" s="21" t="str">
        <f aca="false">IF(B66="","",IFERROR(INDEX(Propriétaires!$E$4:$E$13,MATCH(B66,Propriétaires!$A$4:$A$13,0)),0.2))</f>
        <v/>
      </c>
      <c r="N66" s="20" t="str">
        <f aca="false">IF(J66="","",(J66-L66)*M66)</f>
        <v/>
      </c>
      <c r="O66" s="20" t="str">
        <f aca="false">IF(J66="","",J66-L66-N66)</f>
        <v/>
      </c>
      <c r="P66" s="16"/>
      <c r="Q66" s="16"/>
      <c r="R66" s="16"/>
      <c r="S66" s="16"/>
      <c r="T66" s="14" t="str">
        <f aca="false">IF(F66="","",MONTH(F66))</f>
        <v/>
      </c>
      <c r="U66" s="14" t="str">
        <f aca="false">IF(F66="","",YEAR(F66))</f>
        <v/>
      </c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7"/>
      <c r="G67" s="17"/>
      <c r="H67" s="18" t="str">
        <f aca="false">IF(OR(F67="",G67=""),"",G67-F67)</f>
        <v/>
      </c>
      <c r="I67" s="19"/>
      <c r="J67" s="20" t="str">
        <f aca="false">IF(OR(H67="",I67=""),"",H67*I67)</f>
        <v/>
      </c>
      <c r="K67" s="21" t="str">
        <f aca="false">IF(C67="","",IFERROR(INDEX(Paramètres!$E$9:$E$11,MATCH(C67,Paramètres!$D$9:$D$11,0)),0))</f>
        <v/>
      </c>
      <c r="L67" s="20" t="str">
        <f aca="false">IF(J67="","",J67*K67)</f>
        <v/>
      </c>
      <c r="M67" s="21" t="str">
        <f aca="false">IF(B67="","",IFERROR(INDEX(Propriétaires!$E$4:$E$13,MATCH(B67,Propriétaires!$A$4:$A$13,0)),0.2))</f>
        <v/>
      </c>
      <c r="N67" s="20" t="str">
        <f aca="false">IF(J67="","",(J67-L67)*M67)</f>
        <v/>
      </c>
      <c r="O67" s="20" t="str">
        <f aca="false">IF(J67="","",J67-L67-N67)</f>
        <v/>
      </c>
      <c r="P67" s="16"/>
      <c r="Q67" s="16"/>
      <c r="R67" s="16"/>
      <c r="S67" s="16"/>
      <c r="T67" s="14" t="str">
        <f aca="false">IF(F67="","",MONTH(F67))</f>
        <v/>
      </c>
      <c r="U67" s="14" t="str">
        <f aca="false">IF(F67="","",YEAR(F67))</f>
        <v/>
      </c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7"/>
      <c r="G68" s="17"/>
      <c r="H68" s="18" t="str">
        <f aca="false">IF(OR(F68="",G68=""),"",G68-F68)</f>
        <v/>
      </c>
      <c r="I68" s="19"/>
      <c r="J68" s="20" t="str">
        <f aca="false">IF(OR(H68="",I68=""),"",H68*I68)</f>
        <v/>
      </c>
      <c r="K68" s="21" t="str">
        <f aca="false">IF(C68="","",IFERROR(INDEX(Paramètres!$E$9:$E$11,MATCH(C68,Paramètres!$D$9:$D$11,0)),0))</f>
        <v/>
      </c>
      <c r="L68" s="20" t="str">
        <f aca="false">IF(J68="","",J68*K68)</f>
        <v/>
      </c>
      <c r="M68" s="21" t="str">
        <f aca="false">IF(B68="","",IFERROR(INDEX(Propriétaires!$E$4:$E$13,MATCH(B68,Propriétaires!$A$4:$A$13,0)),0.2))</f>
        <v/>
      </c>
      <c r="N68" s="20" t="str">
        <f aca="false">IF(J68="","",(J68-L68)*M68)</f>
        <v/>
      </c>
      <c r="O68" s="20" t="str">
        <f aca="false">IF(J68="","",J68-L68-N68)</f>
        <v/>
      </c>
      <c r="P68" s="16"/>
      <c r="Q68" s="16"/>
      <c r="R68" s="16"/>
      <c r="S68" s="16"/>
      <c r="T68" s="14" t="str">
        <f aca="false">IF(F68="","",MONTH(F68))</f>
        <v/>
      </c>
      <c r="U68" s="14" t="str">
        <f aca="false">IF(F68="","",YEAR(F68))</f>
        <v/>
      </c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7"/>
      <c r="G69" s="17"/>
      <c r="H69" s="18" t="str">
        <f aca="false">IF(OR(F69="",G69=""),"",G69-F69)</f>
        <v/>
      </c>
      <c r="I69" s="19"/>
      <c r="J69" s="20" t="str">
        <f aca="false">IF(OR(H69="",I69=""),"",H69*I69)</f>
        <v/>
      </c>
      <c r="K69" s="21" t="str">
        <f aca="false">IF(C69="","",IFERROR(INDEX(Paramètres!$E$9:$E$11,MATCH(C69,Paramètres!$D$9:$D$11,0)),0))</f>
        <v/>
      </c>
      <c r="L69" s="20" t="str">
        <f aca="false">IF(J69="","",J69*K69)</f>
        <v/>
      </c>
      <c r="M69" s="21" t="str">
        <f aca="false">IF(B69="","",IFERROR(INDEX(Propriétaires!$E$4:$E$13,MATCH(B69,Propriétaires!$A$4:$A$13,0)),0.2))</f>
        <v/>
      </c>
      <c r="N69" s="20" t="str">
        <f aca="false">IF(J69="","",(J69-L69)*M69)</f>
        <v/>
      </c>
      <c r="O69" s="20" t="str">
        <f aca="false">IF(J69="","",J69-L69-N69)</f>
        <v/>
      </c>
      <c r="P69" s="16"/>
      <c r="Q69" s="16"/>
      <c r="R69" s="16"/>
      <c r="S69" s="16"/>
      <c r="T69" s="14" t="str">
        <f aca="false">IF(F69="","",MONTH(F69))</f>
        <v/>
      </c>
      <c r="U69" s="14" t="str">
        <f aca="false">IF(F69="","",YEAR(F69))</f>
        <v/>
      </c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7"/>
      <c r="G70" s="17"/>
      <c r="H70" s="18" t="str">
        <f aca="false">IF(OR(F70="",G70=""),"",G70-F70)</f>
        <v/>
      </c>
      <c r="I70" s="19"/>
      <c r="J70" s="20" t="str">
        <f aca="false">IF(OR(H70="",I70=""),"",H70*I70)</f>
        <v/>
      </c>
      <c r="K70" s="21" t="str">
        <f aca="false">IF(C70="","",IFERROR(INDEX(Paramètres!$E$9:$E$11,MATCH(C70,Paramètres!$D$9:$D$11,0)),0))</f>
        <v/>
      </c>
      <c r="L70" s="20" t="str">
        <f aca="false">IF(J70="","",J70*K70)</f>
        <v/>
      </c>
      <c r="M70" s="21" t="str">
        <f aca="false">IF(B70="","",IFERROR(INDEX(Propriétaires!$E$4:$E$13,MATCH(B70,Propriétaires!$A$4:$A$13,0)),0.2))</f>
        <v/>
      </c>
      <c r="N70" s="20" t="str">
        <f aca="false">IF(J70="","",(J70-L70)*M70)</f>
        <v/>
      </c>
      <c r="O70" s="20" t="str">
        <f aca="false">IF(J70="","",J70-L70-N70)</f>
        <v/>
      </c>
      <c r="P70" s="16"/>
      <c r="Q70" s="16"/>
      <c r="R70" s="16"/>
      <c r="S70" s="16"/>
      <c r="T70" s="14" t="str">
        <f aca="false">IF(F70="","",MONTH(F70))</f>
        <v/>
      </c>
      <c r="U70" s="14" t="str">
        <f aca="false">IF(F70="","",YEAR(F70))</f>
        <v/>
      </c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7"/>
      <c r="G71" s="17"/>
      <c r="H71" s="18" t="str">
        <f aca="false">IF(OR(F71="",G71=""),"",G71-F71)</f>
        <v/>
      </c>
      <c r="I71" s="19"/>
      <c r="J71" s="20" t="str">
        <f aca="false">IF(OR(H71="",I71=""),"",H71*I71)</f>
        <v/>
      </c>
      <c r="K71" s="21" t="str">
        <f aca="false">IF(C71="","",IFERROR(INDEX(Paramètres!$E$9:$E$11,MATCH(C71,Paramètres!$D$9:$D$11,0)),0))</f>
        <v/>
      </c>
      <c r="L71" s="20" t="str">
        <f aca="false">IF(J71="","",J71*K71)</f>
        <v/>
      </c>
      <c r="M71" s="21" t="str">
        <f aca="false">IF(B71="","",IFERROR(INDEX(Propriétaires!$E$4:$E$13,MATCH(B71,Propriétaires!$A$4:$A$13,0)),0.2))</f>
        <v/>
      </c>
      <c r="N71" s="20" t="str">
        <f aca="false">IF(J71="","",(J71-L71)*M71)</f>
        <v/>
      </c>
      <c r="O71" s="20" t="str">
        <f aca="false">IF(J71="","",J71-L71-N71)</f>
        <v/>
      </c>
      <c r="P71" s="16"/>
      <c r="Q71" s="16"/>
      <c r="R71" s="16"/>
      <c r="S71" s="16"/>
      <c r="T71" s="14" t="str">
        <f aca="false">IF(F71="","",MONTH(F71))</f>
        <v/>
      </c>
      <c r="U71" s="14" t="str">
        <f aca="false">IF(F71="","",YEAR(F71))</f>
        <v/>
      </c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7"/>
      <c r="G72" s="17"/>
      <c r="H72" s="18" t="str">
        <f aca="false">IF(OR(F72="",G72=""),"",G72-F72)</f>
        <v/>
      </c>
      <c r="I72" s="19"/>
      <c r="J72" s="20" t="str">
        <f aca="false">IF(OR(H72="",I72=""),"",H72*I72)</f>
        <v/>
      </c>
      <c r="K72" s="21" t="str">
        <f aca="false">IF(C72="","",IFERROR(INDEX(Paramètres!$E$9:$E$11,MATCH(C72,Paramètres!$D$9:$D$11,0)),0))</f>
        <v/>
      </c>
      <c r="L72" s="20" t="str">
        <f aca="false">IF(J72="","",J72*K72)</f>
        <v/>
      </c>
      <c r="M72" s="21" t="str">
        <f aca="false">IF(B72="","",IFERROR(INDEX(Propriétaires!$E$4:$E$13,MATCH(B72,Propriétaires!$A$4:$A$13,0)),0.2))</f>
        <v/>
      </c>
      <c r="N72" s="20" t="str">
        <f aca="false">IF(J72="","",(J72-L72)*M72)</f>
        <v/>
      </c>
      <c r="O72" s="20" t="str">
        <f aca="false">IF(J72="","",J72-L72-N72)</f>
        <v/>
      </c>
      <c r="P72" s="16"/>
      <c r="Q72" s="16"/>
      <c r="R72" s="16"/>
      <c r="S72" s="16"/>
      <c r="T72" s="14" t="str">
        <f aca="false">IF(F72="","",MONTH(F72))</f>
        <v/>
      </c>
      <c r="U72" s="14" t="str">
        <f aca="false">IF(F72="","",YEAR(F72))</f>
        <v/>
      </c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7"/>
      <c r="G73" s="17"/>
      <c r="H73" s="18" t="str">
        <f aca="false">IF(OR(F73="",G73=""),"",G73-F73)</f>
        <v/>
      </c>
      <c r="I73" s="19"/>
      <c r="J73" s="20" t="str">
        <f aca="false">IF(OR(H73="",I73=""),"",H73*I73)</f>
        <v/>
      </c>
      <c r="K73" s="21" t="str">
        <f aca="false">IF(C73="","",IFERROR(INDEX(Paramètres!$E$9:$E$11,MATCH(C73,Paramètres!$D$9:$D$11,0)),0))</f>
        <v/>
      </c>
      <c r="L73" s="20" t="str">
        <f aca="false">IF(J73="","",J73*K73)</f>
        <v/>
      </c>
      <c r="M73" s="21" t="str">
        <f aca="false">IF(B73="","",IFERROR(INDEX(Propriétaires!$E$4:$E$13,MATCH(B73,Propriétaires!$A$4:$A$13,0)),0.2))</f>
        <v/>
      </c>
      <c r="N73" s="20" t="str">
        <f aca="false">IF(J73="","",(J73-L73)*M73)</f>
        <v/>
      </c>
      <c r="O73" s="20" t="str">
        <f aca="false">IF(J73="","",J73-L73-N73)</f>
        <v/>
      </c>
      <c r="P73" s="16"/>
      <c r="Q73" s="16"/>
      <c r="R73" s="16"/>
      <c r="S73" s="16"/>
      <c r="T73" s="14" t="str">
        <f aca="false">IF(F73="","",MONTH(F73))</f>
        <v/>
      </c>
      <c r="U73" s="14" t="str">
        <f aca="false">IF(F73="","",YEAR(F73))</f>
        <v/>
      </c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7"/>
      <c r="G74" s="17"/>
      <c r="H74" s="18" t="str">
        <f aca="false">IF(OR(F74="",G74=""),"",G74-F74)</f>
        <v/>
      </c>
      <c r="I74" s="19"/>
      <c r="J74" s="20" t="str">
        <f aca="false">IF(OR(H74="",I74=""),"",H74*I74)</f>
        <v/>
      </c>
      <c r="K74" s="21" t="str">
        <f aca="false">IF(C74="","",IFERROR(INDEX(Paramètres!$E$9:$E$11,MATCH(C74,Paramètres!$D$9:$D$11,0)),0))</f>
        <v/>
      </c>
      <c r="L74" s="20" t="str">
        <f aca="false">IF(J74="","",J74*K74)</f>
        <v/>
      </c>
      <c r="M74" s="21" t="str">
        <f aca="false">IF(B74="","",IFERROR(INDEX(Propriétaires!$E$4:$E$13,MATCH(B74,Propriétaires!$A$4:$A$13,0)),0.2))</f>
        <v/>
      </c>
      <c r="N74" s="20" t="str">
        <f aca="false">IF(J74="","",(J74-L74)*M74)</f>
        <v/>
      </c>
      <c r="O74" s="20" t="str">
        <f aca="false">IF(J74="","",J74-L74-N74)</f>
        <v/>
      </c>
      <c r="P74" s="16"/>
      <c r="Q74" s="16"/>
      <c r="R74" s="16"/>
      <c r="S74" s="16"/>
      <c r="T74" s="14" t="str">
        <f aca="false">IF(F74="","",MONTH(F74))</f>
        <v/>
      </c>
      <c r="U74" s="14" t="str">
        <f aca="false">IF(F74="","",YEAR(F74))</f>
        <v/>
      </c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7"/>
      <c r="G75" s="17"/>
      <c r="H75" s="18" t="str">
        <f aca="false">IF(OR(F75="",G75=""),"",G75-F75)</f>
        <v/>
      </c>
      <c r="I75" s="19"/>
      <c r="J75" s="20" t="str">
        <f aca="false">IF(OR(H75="",I75=""),"",H75*I75)</f>
        <v/>
      </c>
      <c r="K75" s="21" t="str">
        <f aca="false">IF(C75="","",IFERROR(INDEX(Paramètres!$E$9:$E$11,MATCH(C75,Paramètres!$D$9:$D$11,0)),0))</f>
        <v/>
      </c>
      <c r="L75" s="20" t="str">
        <f aca="false">IF(J75="","",J75*K75)</f>
        <v/>
      </c>
      <c r="M75" s="21" t="str">
        <f aca="false">IF(B75="","",IFERROR(INDEX(Propriétaires!$E$4:$E$13,MATCH(B75,Propriétaires!$A$4:$A$13,0)),0.2))</f>
        <v/>
      </c>
      <c r="N75" s="20" t="str">
        <f aca="false">IF(J75="","",(J75-L75)*M75)</f>
        <v/>
      </c>
      <c r="O75" s="20" t="str">
        <f aca="false">IF(J75="","",J75-L75-N75)</f>
        <v/>
      </c>
      <c r="P75" s="16"/>
      <c r="Q75" s="16"/>
      <c r="R75" s="16"/>
      <c r="S75" s="16"/>
      <c r="T75" s="14" t="str">
        <f aca="false">IF(F75="","",MONTH(F75))</f>
        <v/>
      </c>
      <c r="U75" s="14" t="str">
        <f aca="false">IF(F75="","",YEAR(F75))</f>
        <v/>
      </c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7"/>
      <c r="G76" s="17"/>
      <c r="H76" s="18" t="str">
        <f aca="false">IF(OR(F76="",G76=""),"",G76-F76)</f>
        <v/>
      </c>
      <c r="I76" s="19"/>
      <c r="J76" s="20" t="str">
        <f aca="false">IF(OR(H76="",I76=""),"",H76*I76)</f>
        <v/>
      </c>
      <c r="K76" s="21" t="str">
        <f aca="false">IF(C76="","",IFERROR(INDEX(Paramètres!$E$9:$E$11,MATCH(C76,Paramètres!$D$9:$D$11,0)),0))</f>
        <v/>
      </c>
      <c r="L76" s="20" t="str">
        <f aca="false">IF(J76="","",J76*K76)</f>
        <v/>
      </c>
      <c r="M76" s="21" t="str">
        <f aca="false">IF(B76="","",IFERROR(INDEX(Propriétaires!$E$4:$E$13,MATCH(B76,Propriétaires!$A$4:$A$13,0)),0.2))</f>
        <v/>
      </c>
      <c r="N76" s="20" t="str">
        <f aca="false">IF(J76="","",(J76-L76)*M76)</f>
        <v/>
      </c>
      <c r="O76" s="20" t="str">
        <f aca="false">IF(J76="","",J76-L76-N76)</f>
        <v/>
      </c>
      <c r="P76" s="16"/>
      <c r="Q76" s="16"/>
      <c r="R76" s="16"/>
      <c r="S76" s="16"/>
      <c r="T76" s="14" t="str">
        <f aca="false">IF(F76="","",MONTH(F76))</f>
        <v/>
      </c>
      <c r="U76" s="14" t="str">
        <f aca="false">IF(F76="","",YEAR(F76))</f>
        <v/>
      </c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7"/>
      <c r="G77" s="17"/>
      <c r="H77" s="18" t="str">
        <f aca="false">IF(OR(F77="",G77=""),"",G77-F77)</f>
        <v/>
      </c>
      <c r="I77" s="19"/>
      <c r="J77" s="20" t="str">
        <f aca="false">IF(OR(H77="",I77=""),"",H77*I77)</f>
        <v/>
      </c>
      <c r="K77" s="21" t="str">
        <f aca="false">IF(C77="","",IFERROR(INDEX(Paramètres!$E$9:$E$11,MATCH(C77,Paramètres!$D$9:$D$11,0)),0))</f>
        <v/>
      </c>
      <c r="L77" s="20" t="str">
        <f aca="false">IF(J77="","",J77*K77)</f>
        <v/>
      </c>
      <c r="M77" s="21" t="str">
        <f aca="false">IF(B77="","",IFERROR(INDEX(Propriétaires!$E$4:$E$13,MATCH(B77,Propriétaires!$A$4:$A$13,0)),0.2))</f>
        <v/>
      </c>
      <c r="N77" s="20" t="str">
        <f aca="false">IF(J77="","",(J77-L77)*M77)</f>
        <v/>
      </c>
      <c r="O77" s="20" t="str">
        <f aca="false">IF(J77="","",J77-L77-N77)</f>
        <v/>
      </c>
      <c r="P77" s="16"/>
      <c r="Q77" s="16"/>
      <c r="R77" s="16"/>
      <c r="S77" s="16"/>
      <c r="T77" s="14" t="str">
        <f aca="false">IF(F77="","",MONTH(F77))</f>
        <v/>
      </c>
      <c r="U77" s="14" t="str">
        <f aca="false">IF(F77="","",YEAR(F77))</f>
        <v/>
      </c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7"/>
      <c r="G78" s="17"/>
      <c r="H78" s="18" t="str">
        <f aca="false">IF(OR(F78="",G78=""),"",G78-F78)</f>
        <v/>
      </c>
      <c r="I78" s="19"/>
      <c r="J78" s="20" t="str">
        <f aca="false">IF(OR(H78="",I78=""),"",H78*I78)</f>
        <v/>
      </c>
      <c r="K78" s="21" t="str">
        <f aca="false">IF(C78="","",IFERROR(INDEX(Paramètres!$E$9:$E$11,MATCH(C78,Paramètres!$D$9:$D$11,0)),0))</f>
        <v/>
      </c>
      <c r="L78" s="20" t="str">
        <f aca="false">IF(J78="","",J78*K78)</f>
        <v/>
      </c>
      <c r="M78" s="21" t="str">
        <f aca="false">IF(B78="","",IFERROR(INDEX(Propriétaires!$E$4:$E$13,MATCH(B78,Propriétaires!$A$4:$A$13,0)),0.2))</f>
        <v/>
      </c>
      <c r="N78" s="20" t="str">
        <f aca="false">IF(J78="","",(J78-L78)*M78)</f>
        <v/>
      </c>
      <c r="O78" s="20" t="str">
        <f aca="false">IF(J78="","",J78-L78-N78)</f>
        <v/>
      </c>
      <c r="P78" s="16"/>
      <c r="Q78" s="16"/>
      <c r="R78" s="16"/>
      <c r="S78" s="16"/>
      <c r="T78" s="14" t="str">
        <f aca="false">IF(F78="","",MONTH(F78))</f>
        <v/>
      </c>
      <c r="U78" s="14" t="str">
        <f aca="false">IF(F78="","",YEAR(F78))</f>
        <v/>
      </c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7"/>
      <c r="G79" s="17"/>
      <c r="H79" s="18" t="str">
        <f aca="false">IF(OR(F79="",G79=""),"",G79-F79)</f>
        <v/>
      </c>
      <c r="I79" s="19"/>
      <c r="J79" s="20" t="str">
        <f aca="false">IF(OR(H79="",I79=""),"",H79*I79)</f>
        <v/>
      </c>
      <c r="K79" s="21" t="str">
        <f aca="false">IF(C79="","",IFERROR(INDEX(Paramètres!$E$9:$E$11,MATCH(C79,Paramètres!$D$9:$D$11,0)),0))</f>
        <v/>
      </c>
      <c r="L79" s="20" t="str">
        <f aca="false">IF(J79="","",J79*K79)</f>
        <v/>
      </c>
      <c r="M79" s="21" t="str">
        <f aca="false">IF(B79="","",IFERROR(INDEX(Propriétaires!$E$4:$E$13,MATCH(B79,Propriétaires!$A$4:$A$13,0)),0.2))</f>
        <v/>
      </c>
      <c r="N79" s="20" t="str">
        <f aca="false">IF(J79="","",(J79-L79)*M79)</f>
        <v/>
      </c>
      <c r="O79" s="20" t="str">
        <f aca="false">IF(J79="","",J79-L79-N79)</f>
        <v/>
      </c>
      <c r="P79" s="16"/>
      <c r="Q79" s="16"/>
      <c r="R79" s="16"/>
      <c r="S79" s="16"/>
      <c r="T79" s="14" t="str">
        <f aca="false">IF(F79="","",MONTH(F79))</f>
        <v/>
      </c>
      <c r="U79" s="14" t="str">
        <f aca="false">IF(F79="","",YEAR(F79))</f>
        <v/>
      </c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7"/>
      <c r="G80" s="17"/>
      <c r="H80" s="18" t="str">
        <f aca="false">IF(OR(F80="",G80=""),"",G80-F80)</f>
        <v/>
      </c>
      <c r="I80" s="19"/>
      <c r="J80" s="20" t="str">
        <f aca="false">IF(OR(H80="",I80=""),"",H80*I80)</f>
        <v/>
      </c>
      <c r="K80" s="21" t="str">
        <f aca="false">IF(C80="","",IFERROR(INDEX(Paramètres!$E$9:$E$11,MATCH(C80,Paramètres!$D$9:$D$11,0)),0))</f>
        <v/>
      </c>
      <c r="L80" s="20" t="str">
        <f aca="false">IF(J80="","",J80*K80)</f>
        <v/>
      </c>
      <c r="M80" s="21" t="str">
        <f aca="false">IF(B80="","",IFERROR(INDEX(Propriétaires!$E$4:$E$13,MATCH(B80,Propriétaires!$A$4:$A$13,0)),0.2))</f>
        <v/>
      </c>
      <c r="N80" s="20" t="str">
        <f aca="false">IF(J80="","",(J80-L80)*M80)</f>
        <v/>
      </c>
      <c r="O80" s="20" t="str">
        <f aca="false">IF(J80="","",J80-L80-N80)</f>
        <v/>
      </c>
      <c r="P80" s="16"/>
      <c r="Q80" s="16"/>
      <c r="R80" s="16"/>
      <c r="S80" s="16"/>
      <c r="T80" s="14" t="str">
        <f aca="false">IF(F80="","",MONTH(F80))</f>
        <v/>
      </c>
      <c r="U80" s="14" t="str">
        <f aca="false">IF(F80="","",YEAR(F80))</f>
        <v/>
      </c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7"/>
      <c r="G81" s="17"/>
      <c r="H81" s="18" t="str">
        <f aca="false">IF(OR(F81="",G81=""),"",G81-F81)</f>
        <v/>
      </c>
      <c r="I81" s="19"/>
      <c r="J81" s="20" t="str">
        <f aca="false">IF(OR(H81="",I81=""),"",H81*I81)</f>
        <v/>
      </c>
      <c r="K81" s="21" t="str">
        <f aca="false">IF(C81="","",IFERROR(INDEX(Paramètres!$E$9:$E$11,MATCH(C81,Paramètres!$D$9:$D$11,0)),0))</f>
        <v/>
      </c>
      <c r="L81" s="20" t="str">
        <f aca="false">IF(J81="","",J81*K81)</f>
        <v/>
      </c>
      <c r="M81" s="21" t="str">
        <f aca="false">IF(B81="","",IFERROR(INDEX(Propriétaires!$E$4:$E$13,MATCH(B81,Propriétaires!$A$4:$A$13,0)),0.2))</f>
        <v/>
      </c>
      <c r="N81" s="20" t="str">
        <f aca="false">IF(J81="","",(J81-L81)*M81)</f>
        <v/>
      </c>
      <c r="O81" s="20" t="str">
        <f aca="false">IF(J81="","",J81-L81-N81)</f>
        <v/>
      </c>
      <c r="P81" s="16"/>
      <c r="Q81" s="16"/>
      <c r="R81" s="16"/>
      <c r="S81" s="16"/>
      <c r="T81" s="14" t="str">
        <f aca="false">IF(F81="","",MONTH(F81))</f>
        <v/>
      </c>
      <c r="U81" s="14" t="str">
        <f aca="false">IF(F81="","",YEAR(F81))</f>
        <v/>
      </c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7"/>
      <c r="G82" s="17"/>
      <c r="H82" s="18" t="str">
        <f aca="false">IF(OR(F82="",G82=""),"",G82-F82)</f>
        <v/>
      </c>
      <c r="I82" s="19"/>
      <c r="J82" s="20" t="str">
        <f aca="false">IF(OR(H82="",I82=""),"",H82*I82)</f>
        <v/>
      </c>
      <c r="K82" s="21" t="str">
        <f aca="false">IF(C82="","",IFERROR(INDEX(Paramètres!$E$9:$E$11,MATCH(C82,Paramètres!$D$9:$D$11,0)),0))</f>
        <v/>
      </c>
      <c r="L82" s="20" t="str">
        <f aca="false">IF(J82="","",J82*K82)</f>
        <v/>
      </c>
      <c r="M82" s="21" t="str">
        <f aca="false">IF(B82="","",IFERROR(INDEX(Propriétaires!$E$4:$E$13,MATCH(B82,Propriétaires!$A$4:$A$13,0)),0.2))</f>
        <v/>
      </c>
      <c r="N82" s="20" t="str">
        <f aca="false">IF(J82="","",(J82-L82)*M82)</f>
        <v/>
      </c>
      <c r="O82" s="20" t="str">
        <f aca="false">IF(J82="","",J82-L82-N82)</f>
        <v/>
      </c>
      <c r="P82" s="16"/>
      <c r="Q82" s="16"/>
      <c r="R82" s="16"/>
      <c r="S82" s="16"/>
      <c r="T82" s="14" t="str">
        <f aca="false">IF(F82="","",MONTH(F82))</f>
        <v/>
      </c>
      <c r="U82" s="14" t="str">
        <f aca="false">IF(F82="","",YEAR(F82))</f>
        <v/>
      </c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7"/>
      <c r="G83" s="17"/>
      <c r="H83" s="18" t="str">
        <f aca="false">IF(OR(F83="",G83=""),"",G83-F83)</f>
        <v/>
      </c>
      <c r="I83" s="19"/>
      <c r="J83" s="20" t="str">
        <f aca="false">IF(OR(H83="",I83=""),"",H83*I83)</f>
        <v/>
      </c>
      <c r="K83" s="21" t="str">
        <f aca="false">IF(C83="","",IFERROR(INDEX(Paramètres!$E$9:$E$11,MATCH(C83,Paramètres!$D$9:$D$11,0)),0))</f>
        <v/>
      </c>
      <c r="L83" s="20" t="str">
        <f aca="false">IF(J83="","",J83*K83)</f>
        <v/>
      </c>
      <c r="M83" s="21" t="str">
        <f aca="false">IF(B83="","",IFERROR(INDEX(Propriétaires!$E$4:$E$13,MATCH(B83,Propriétaires!$A$4:$A$13,0)),0.2))</f>
        <v/>
      </c>
      <c r="N83" s="20" t="str">
        <f aca="false">IF(J83="","",(J83-L83)*M83)</f>
        <v/>
      </c>
      <c r="O83" s="20" t="str">
        <f aca="false">IF(J83="","",J83-L83-N83)</f>
        <v/>
      </c>
      <c r="P83" s="16"/>
      <c r="Q83" s="16"/>
      <c r="R83" s="16"/>
      <c r="S83" s="16"/>
      <c r="T83" s="14" t="str">
        <f aca="false">IF(F83="","",MONTH(F83))</f>
        <v/>
      </c>
      <c r="U83" s="14" t="str">
        <f aca="false">IF(F83="","",YEAR(F83))</f>
        <v/>
      </c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7"/>
      <c r="G84" s="17"/>
      <c r="H84" s="18" t="str">
        <f aca="false">IF(OR(F84="",G84=""),"",G84-F84)</f>
        <v/>
      </c>
      <c r="I84" s="19"/>
      <c r="J84" s="20" t="str">
        <f aca="false">IF(OR(H84="",I84=""),"",H84*I84)</f>
        <v/>
      </c>
      <c r="K84" s="21" t="str">
        <f aca="false">IF(C84="","",IFERROR(INDEX(Paramètres!$E$9:$E$11,MATCH(C84,Paramètres!$D$9:$D$11,0)),0))</f>
        <v/>
      </c>
      <c r="L84" s="20" t="str">
        <f aca="false">IF(J84="","",J84*K84)</f>
        <v/>
      </c>
      <c r="M84" s="21" t="str">
        <f aca="false">IF(B84="","",IFERROR(INDEX(Propriétaires!$E$4:$E$13,MATCH(B84,Propriétaires!$A$4:$A$13,0)),0.2))</f>
        <v/>
      </c>
      <c r="N84" s="20" t="str">
        <f aca="false">IF(J84="","",(J84-L84)*M84)</f>
        <v/>
      </c>
      <c r="O84" s="20" t="str">
        <f aca="false">IF(J84="","",J84-L84-N84)</f>
        <v/>
      </c>
      <c r="P84" s="16"/>
      <c r="Q84" s="16"/>
      <c r="R84" s="16"/>
      <c r="S84" s="16"/>
      <c r="T84" s="14" t="str">
        <f aca="false">IF(F84="","",MONTH(F84))</f>
        <v/>
      </c>
      <c r="U84" s="14" t="str">
        <f aca="false">IF(F84="","",YEAR(F84))</f>
        <v/>
      </c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7"/>
      <c r="G85" s="17"/>
      <c r="H85" s="18" t="str">
        <f aca="false">IF(OR(F85="",G85=""),"",G85-F85)</f>
        <v/>
      </c>
      <c r="I85" s="19"/>
      <c r="J85" s="20" t="str">
        <f aca="false">IF(OR(H85="",I85=""),"",H85*I85)</f>
        <v/>
      </c>
      <c r="K85" s="21" t="str">
        <f aca="false">IF(C85="","",IFERROR(INDEX(Paramètres!$E$9:$E$11,MATCH(C85,Paramètres!$D$9:$D$11,0)),0))</f>
        <v/>
      </c>
      <c r="L85" s="20" t="str">
        <f aca="false">IF(J85="","",J85*K85)</f>
        <v/>
      </c>
      <c r="M85" s="21" t="str">
        <f aca="false">IF(B85="","",IFERROR(INDEX(Propriétaires!$E$4:$E$13,MATCH(B85,Propriétaires!$A$4:$A$13,0)),0.2))</f>
        <v/>
      </c>
      <c r="N85" s="20" t="str">
        <f aca="false">IF(J85="","",(J85-L85)*M85)</f>
        <v/>
      </c>
      <c r="O85" s="20" t="str">
        <f aca="false">IF(J85="","",J85-L85-N85)</f>
        <v/>
      </c>
      <c r="P85" s="16"/>
      <c r="Q85" s="16"/>
      <c r="R85" s="16"/>
      <c r="S85" s="16"/>
      <c r="T85" s="14" t="str">
        <f aca="false">IF(F85="","",MONTH(F85))</f>
        <v/>
      </c>
      <c r="U85" s="14" t="str">
        <f aca="false">IF(F85="","",YEAR(F85))</f>
        <v/>
      </c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7"/>
      <c r="G86" s="17"/>
      <c r="H86" s="18" t="str">
        <f aca="false">IF(OR(F86="",G86=""),"",G86-F86)</f>
        <v/>
      </c>
      <c r="I86" s="19"/>
      <c r="J86" s="20" t="str">
        <f aca="false">IF(OR(H86="",I86=""),"",H86*I86)</f>
        <v/>
      </c>
      <c r="K86" s="21" t="str">
        <f aca="false">IF(C86="","",IFERROR(INDEX(Paramètres!$E$9:$E$11,MATCH(C86,Paramètres!$D$9:$D$11,0)),0))</f>
        <v/>
      </c>
      <c r="L86" s="20" t="str">
        <f aca="false">IF(J86="","",J86*K86)</f>
        <v/>
      </c>
      <c r="M86" s="21" t="str">
        <f aca="false">IF(B86="","",IFERROR(INDEX(Propriétaires!$E$4:$E$13,MATCH(B86,Propriétaires!$A$4:$A$13,0)),0.2))</f>
        <v/>
      </c>
      <c r="N86" s="20" t="str">
        <f aca="false">IF(J86="","",(J86-L86)*M86)</f>
        <v/>
      </c>
      <c r="O86" s="20" t="str">
        <f aca="false">IF(J86="","",J86-L86-N86)</f>
        <v/>
      </c>
      <c r="P86" s="16"/>
      <c r="Q86" s="16"/>
      <c r="R86" s="16"/>
      <c r="S86" s="16"/>
      <c r="T86" s="14" t="str">
        <f aca="false">IF(F86="","",MONTH(F86))</f>
        <v/>
      </c>
      <c r="U86" s="14" t="str">
        <f aca="false">IF(F86="","",YEAR(F86))</f>
        <v/>
      </c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7"/>
      <c r="G87" s="17"/>
      <c r="H87" s="18" t="str">
        <f aca="false">IF(OR(F87="",G87=""),"",G87-F87)</f>
        <v/>
      </c>
      <c r="I87" s="19"/>
      <c r="J87" s="20" t="str">
        <f aca="false">IF(OR(H87="",I87=""),"",H87*I87)</f>
        <v/>
      </c>
      <c r="K87" s="21" t="str">
        <f aca="false">IF(C87="","",IFERROR(INDEX(Paramètres!$E$9:$E$11,MATCH(C87,Paramètres!$D$9:$D$11,0)),0))</f>
        <v/>
      </c>
      <c r="L87" s="20" t="str">
        <f aca="false">IF(J87="","",J87*K87)</f>
        <v/>
      </c>
      <c r="M87" s="21" t="str">
        <f aca="false">IF(B87="","",IFERROR(INDEX(Propriétaires!$E$4:$E$13,MATCH(B87,Propriétaires!$A$4:$A$13,0)),0.2))</f>
        <v/>
      </c>
      <c r="N87" s="20" t="str">
        <f aca="false">IF(J87="","",(J87-L87)*M87)</f>
        <v/>
      </c>
      <c r="O87" s="20" t="str">
        <f aca="false">IF(J87="","",J87-L87-N87)</f>
        <v/>
      </c>
      <c r="P87" s="16"/>
      <c r="Q87" s="16"/>
      <c r="R87" s="16"/>
      <c r="S87" s="16"/>
      <c r="T87" s="14" t="str">
        <f aca="false">IF(F87="","",MONTH(F87))</f>
        <v/>
      </c>
      <c r="U87" s="14" t="str">
        <f aca="false">IF(F87="","",YEAR(F87))</f>
        <v/>
      </c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7"/>
      <c r="G88" s="17"/>
      <c r="H88" s="18" t="str">
        <f aca="false">IF(OR(F88="",G88=""),"",G88-F88)</f>
        <v/>
      </c>
      <c r="I88" s="19"/>
      <c r="J88" s="20" t="str">
        <f aca="false">IF(OR(H88="",I88=""),"",H88*I88)</f>
        <v/>
      </c>
      <c r="K88" s="21" t="str">
        <f aca="false">IF(C88="","",IFERROR(INDEX(Paramètres!$E$9:$E$11,MATCH(C88,Paramètres!$D$9:$D$11,0)),0))</f>
        <v/>
      </c>
      <c r="L88" s="20" t="str">
        <f aca="false">IF(J88="","",J88*K88)</f>
        <v/>
      </c>
      <c r="M88" s="21" t="str">
        <f aca="false">IF(B88="","",IFERROR(INDEX(Propriétaires!$E$4:$E$13,MATCH(B88,Propriétaires!$A$4:$A$13,0)),0.2))</f>
        <v/>
      </c>
      <c r="N88" s="20" t="str">
        <f aca="false">IF(J88="","",(J88-L88)*M88)</f>
        <v/>
      </c>
      <c r="O88" s="20" t="str">
        <f aca="false">IF(J88="","",J88-L88-N88)</f>
        <v/>
      </c>
      <c r="P88" s="16"/>
      <c r="Q88" s="16"/>
      <c r="R88" s="16"/>
      <c r="S88" s="16"/>
      <c r="T88" s="14" t="str">
        <f aca="false">IF(F88="","",MONTH(F88))</f>
        <v/>
      </c>
      <c r="U88" s="14" t="str">
        <f aca="false">IF(F88="","",YEAR(F88))</f>
        <v/>
      </c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7"/>
      <c r="G89" s="17"/>
      <c r="H89" s="18" t="str">
        <f aca="false">IF(OR(F89="",G89=""),"",G89-F89)</f>
        <v/>
      </c>
      <c r="I89" s="19"/>
      <c r="J89" s="20" t="str">
        <f aca="false">IF(OR(H89="",I89=""),"",H89*I89)</f>
        <v/>
      </c>
      <c r="K89" s="21" t="str">
        <f aca="false">IF(C89="","",IFERROR(INDEX(Paramètres!$E$9:$E$11,MATCH(C89,Paramètres!$D$9:$D$11,0)),0))</f>
        <v/>
      </c>
      <c r="L89" s="20" t="str">
        <f aca="false">IF(J89="","",J89*K89)</f>
        <v/>
      </c>
      <c r="M89" s="21" t="str">
        <f aca="false">IF(B89="","",IFERROR(INDEX(Propriétaires!$E$4:$E$13,MATCH(B89,Propriétaires!$A$4:$A$13,0)),0.2))</f>
        <v/>
      </c>
      <c r="N89" s="20" t="str">
        <f aca="false">IF(J89="","",(J89-L89)*M89)</f>
        <v/>
      </c>
      <c r="O89" s="20" t="str">
        <f aca="false">IF(J89="","",J89-L89-N89)</f>
        <v/>
      </c>
      <c r="P89" s="16"/>
      <c r="Q89" s="16"/>
      <c r="R89" s="16"/>
      <c r="S89" s="16"/>
      <c r="T89" s="14" t="str">
        <f aca="false">IF(F89="","",MONTH(F89))</f>
        <v/>
      </c>
      <c r="U89" s="14" t="str">
        <f aca="false">IF(F89="","",YEAR(F89))</f>
        <v/>
      </c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7"/>
      <c r="G90" s="17"/>
      <c r="H90" s="18" t="str">
        <f aca="false">IF(OR(F90="",G90=""),"",G90-F90)</f>
        <v/>
      </c>
      <c r="I90" s="19"/>
      <c r="J90" s="20" t="str">
        <f aca="false">IF(OR(H90="",I90=""),"",H90*I90)</f>
        <v/>
      </c>
      <c r="K90" s="21" t="str">
        <f aca="false">IF(C90="","",IFERROR(INDEX(Paramètres!$E$9:$E$11,MATCH(C90,Paramètres!$D$9:$D$11,0)),0))</f>
        <v/>
      </c>
      <c r="L90" s="20" t="str">
        <f aca="false">IF(J90="","",J90*K90)</f>
        <v/>
      </c>
      <c r="M90" s="21" t="str">
        <f aca="false">IF(B90="","",IFERROR(INDEX(Propriétaires!$E$4:$E$13,MATCH(B90,Propriétaires!$A$4:$A$13,0)),0.2))</f>
        <v/>
      </c>
      <c r="N90" s="20" t="str">
        <f aca="false">IF(J90="","",(J90-L90)*M90)</f>
        <v/>
      </c>
      <c r="O90" s="20" t="str">
        <f aca="false">IF(J90="","",J90-L90-N90)</f>
        <v/>
      </c>
      <c r="P90" s="16"/>
      <c r="Q90" s="16"/>
      <c r="R90" s="16"/>
      <c r="S90" s="16"/>
      <c r="T90" s="14" t="str">
        <f aca="false">IF(F90="","",MONTH(F90))</f>
        <v/>
      </c>
      <c r="U90" s="14" t="str">
        <f aca="false">IF(F90="","",YEAR(F90))</f>
        <v/>
      </c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7"/>
      <c r="G91" s="17"/>
      <c r="H91" s="18" t="str">
        <f aca="false">IF(OR(F91="",G91=""),"",G91-F91)</f>
        <v/>
      </c>
      <c r="I91" s="19"/>
      <c r="J91" s="20" t="str">
        <f aca="false">IF(OR(H91="",I91=""),"",H91*I91)</f>
        <v/>
      </c>
      <c r="K91" s="21" t="str">
        <f aca="false">IF(C91="","",IFERROR(INDEX(Paramètres!$E$9:$E$11,MATCH(C91,Paramètres!$D$9:$D$11,0)),0))</f>
        <v/>
      </c>
      <c r="L91" s="20" t="str">
        <f aca="false">IF(J91="","",J91*K91)</f>
        <v/>
      </c>
      <c r="M91" s="21" t="str">
        <f aca="false">IF(B91="","",IFERROR(INDEX(Propriétaires!$E$4:$E$13,MATCH(B91,Propriétaires!$A$4:$A$13,0)),0.2))</f>
        <v/>
      </c>
      <c r="N91" s="20" t="str">
        <f aca="false">IF(J91="","",(J91-L91)*M91)</f>
        <v/>
      </c>
      <c r="O91" s="20" t="str">
        <f aca="false">IF(J91="","",J91-L91-N91)</f>
        <v/>
      </c>
      <c r="P91" s="16"/>
      <c r="Q91" s="16"/>
      <c r="R91" s="16"/>
      <c r="S91" s="16"/>
      <c r="T91" s="14" t="str">
        <f aca="false">IF(F91="","",MONTH(F91))</f>
        <v/>
      </c>
      <c r="U91" s="14" t="str">
        <f aca="false">IF(F91="","",YEAR(F91))</f>
        <v/>
      </c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7"/>
      <c r="G92" s="17"/>
      <c r="H92" s="18" t="str">
        <f aca="false">IF(OR(F92="",G92=""),"",G92-F92)</f>
        <v/>
      </c>
      <c r="I92" s="19"/>
      <c r="J92" s="20" t="str">
        <f aca="false">IF(OR(H92="",I92=""),"",H92*I92)</f>
        <v/>
      </c>
      <c r="K92" s="21" t="str">
        <f aca="false">IF(C92="","",IFERROR(INDEX(Paramètres!$E$9:$E$11,MATCH(C92,Paramètres!$D$9:$D$11,0)),0))</f>
        <v/>
      </c>
      <c r="L92" s="20" t="str">
        <f aca="false">IF(J92="","",J92*K92)</f>
        <v/>
      </c>
      <c r="M92" s="21" t="str">
        <f aca="false">IF(B92="","",IFERROR(INDEX(Propriétaires!$E$4:$E$13,MATCH(B92,Propriétaires!$A$4:$A$13,0)),0.2))</f>
        <v/>
      </c>
      <c r="N92" s="20" t="str">
        <f aca="false">IF(J92="","",(J92-L92)*M92)</f>
        <v/>
      </c>
      <c r="O92" s="20" t="str">
        <f aca="false">IF(J92="","",J92-L92-N92)</f>
        <v/>
      </c>
      <c r="P92" s="16"/>
      <c r="Q92" s="16"/>
      <c r="R92" s="16"/>
      <c r="S92" s="16"/>
      <c r="T92" s="14" t="str">
        <f aca="false">IF(F92="","",MONTH(F92))</f>
        <v/>
      </c>
      <c r="U92" s="14" t="str">
        <f aca="false">IF(F92="","",YEAR(F92))</f>
        <v/>
      </c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7"/>
      <c r="G93" s="17"/>
      <c r="H93" s="18" t="str">
        <f aca="false">IF(OR(F93="",G93=""),"",G93-F93)</f>
        <v/>
      </c>
      <c r="I93" s="19"/>
      <c r="J93" s="20" t="str">
        <f aca="false">IF(OR(H93="",I93=""),"",H93*I93)</f>
        <v/>
      </c>
      <c r="K93" s="21" t="str">
        <f aca="false">IF(C93="","",IFERROR(INDEX(Paramètres!$E$9:$E$11,MATCH(C93,Paramètres!$D$9:$D$11,0)),0))</f>
        <v/>
      </c>
      <c r="L93" s="20" t="str">
        <f aca="false">IF(J93="","",J93*K93)</f>
        <v/>
      </c>
      <c r="M93" s="21" t="str">
        <f aca="false">IF(B93="","",IFERROR(INDEX(Propriétaires!$E$4:$E$13,MATCH(B93,Propriétaires!$A$4:$A$13,0)),0.2))</f>
        <v/>
      </c>
      <c r="N93" s="20" t="str">
        <f aca="false">IF(J93="","",(J93-L93)*M93)</f>
        <v/>
      </c>
      <c r="O93" s="20" t="str">
        <f aca="false">IF(J93="","",J93-L93-N93)</f>
        <v/>
      </c>
      <c r="P93" s="16"/>
      <c r="Q93" s="16"/>
      <c r="R93" s="16"/>
      <c r="S93" s="16"/>
      <c r="T93" s="14" t="str">
        <f aca="false">IF(F93="","",MONTH(F93))</f>
        <v/>
      </c>
      <c r="U93" s="14" t="str">
        <f aca="false">IF(F93="","",YEAR(F93))</f>
        <v/>
      </c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7"/>
      <c r="G94" s="17"/>
      <c r="H94" s="18" t="str">
        <f aca="false">IF(OR(F94="",G94=""),"",G94-F94)</f>
        <v/>
      </c>
      <c r="I94" s="19"/>
      <c r="J94" s="20" t="str">
        <f aca="false">IF(OR(H94="",I94=""),"",H94*I94)</f>
        <v/>
      </c>
      <c r="K94" s="21" t="str">
        <f aca="false">IF(C94="","",IFERROR(INDEX(Paramètres!$E$9:$E$11,MATCH(C94,Paramètres!$D$9:$D$11,0)),0))</f>
        <v/>
      </c>
      <c r="L94" s="20" t="str">
        <f aca="false">IF(J94="","",J94*K94)</f>
        <v/>
      </c>
      <c r="M94" s="21" t="str">
        <f aca="false">IF(B94="","",IFERROR(INDEX(Propriétaires!$E$4:$E$13,MATCH(B94,Propriétaires!$A$4:$A$13,0)),0.2))</f>
        <v/>
      </c>
      <c r="N94" s="20" t="str">
        <f aca="false">IF(J94="","",(J94-L94)*M94)</f>
        <v/>
      </c>
      <c r="O94" s="20" t="str">
        <f aca="false">IF(J94="","",J94-L94-N94)</f>
        <v/>
      </c>
      <c r="P94" s="16"/>
      <c r="Q94" s="16"/>
      <c r="R94" s="16"/>
      <c r="S94" s="16"/>
      <c r="T94" s="14" t="str">
        <f aca="false">IF(F94="","",MONTH(F94))</f>
        <v/>
      </c>
      <c r="U94" s="14" t="str">
        <f aca="false">IF(F94="","",YEAR(F94))</f>
        <v/>
      </c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7"/>
      <c r="G95" s="17"/>
      <c r="H95" s="18" t="str">
        <f aca="false">IF(OR(F95="",G95=""),"",G95-F95)</f>
        <v/>
      </c>
      <c r="I95" s="19"/>
      <c r="J95" s="20" t="str">
        <f aca="false">IF(OR(H95="",I95=""),"",H95*I95)</f>
        <v/>
      </c>
      <c r="K95" s="21" t="str">
        <f aca="false">IF(C95="","",IFERROR(INDEX(Paramètres!$E$9:$E$11,MATCH(C95,Paramètres!$D$9:$D$11,0)),0))</f>
        <v/>
      </c>
      <c r="L95" s="20" t="str">
        <f aca="false">IF(J95="","",J95*K95)</f>
        <v/>
      </c>
      <c r="M95" s="21" t="str">
        <f aca="false">IF(B95="","",IFERROR(INDEX(Propriétaires!$E$4:$E$13,MATCH(B95,Propriétaires!$A$4:$A$13,0)),0.2))</f>
        <v/>
      </c>
      <c r="N95" s="20" t="str">
        <f aca="false">IF(J95="","",(J95-L95)*M95)</f>
        <v/>
      </c>
      <c r="O95" s="20" t="str">
        <f aca="false">IF(J95="","",J95-L95-N95)</f>
        <v/>
      </c>
      <c r="P95" s="16"/>
      <c r="Q95" s="16"/>
      <c r="R95" s="16"/>
      <c r="S95" s="16"/>
      <c r="T95" s="14" t="str">
        <f aca="false">IF(F95="","",MONTH(F95))</f>
        <v/>
      </c>
      <c r="U95" s="14" t="str">
        <f aca="false">IF(F95="","",YEAR(F95))</f>
        <v/>
      </c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7"/>
      <c r="G96" s="17"/>
      <c r="H96" s="18" t="str">
        <f aca="false">IF(OR(F96="",G96=""),"",G96-F96)</f>
        <v/>
      </c>
      <c r="I96" s="19"/>
      <c r="J96" s="20" t="str">
        <f aca="false">IF(OR(H96="",I96=""),"",H96*I96)</f>
        <v/>
      </c>
      <c r="K96" s="21" t="str">
        <f aca="false">IF(C96="","",IFERROR(INDEX(Paramètres!$E$9:$E$11,MATCH(C96,Paramètres!$D$9:$D$11,0)),0))</f>
        <v/>
      </c>
      <c r="L96" s="20" t="str">
        <f aca="false">IF(J96="","",J96*K96)</f>
        <v/>
      </c>
      <c r="M96" s="21" t="str">
        <f aca="false">IF(B96="","",IFERROR(INDEX(Propriétaires!$E$4:$E$13,MATCH(B96,Propriétaires!$A$4:$A$13,0)),0.2))</f>
        <v/>
      </c>
      <c r="N96" s="20" t="str">
        <f aca="false">IF(J96="","",(J96-L96)*M96)</f>
        <v/>
      </c>
      <c r="O96" s="20" t="str">
        <f aca="false">IF(J96="","",J96-L96-N96)</f>
        <v/>
      </c>
      <c r="P96" s="16"/>
      <c r="Q96" s="16"/>
      <c r="R96" s="16"/>
      <c r="S96" s="16"/>
      <c r="T96" s="14" t="str">
        <f aca="false">IF(F96="","",MONTH(F96))</f>
        <v/>
      </c>
      <c r="U96" s="14" t="str">
        <f aca="false">IF(F96="","",YEAR(F96))</f>
        <v/>
      </c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7"/>
      <c r="G97" s="17"/>
      <c r="H97" s="18" t="str">
        <f aca="false">IF(OR(F97="",G97=""),"",G97-F97)</f>
        <v/>
      </c>
      <c r="I97" s="19"/>
      <c r="J97" s="20" t="str">
        <f aca="false">IF(OR(H97="",I97=""),"",H97*I97)</f>
        <v/>
      </c>
      <c r="K97" s="21" t="str">
        <f aca="false">IF(C97="","",IFERROR(INDEX(Paramètres!$E$9:$E$11,MATCH(C97,Paramètres!$D$9:$D$11,0)),0))</f>
        <v/>
      </c>
      <c r="L97" s="20" t="str">
        <f aca="false">IF(J97="","",J97*K97)</f>
        <v/>
      </c>
      <c r="M97" s="21" t="str">
        <f aca="false">IF(B97="","",IFERROR(INDEX(Propriétaires!$E$4:$E$13,MATCH(B97,Propriétaires!$A$4:$A$13,0)),0.2))</f>
        <v/>
      </c>
      <c r="N97" s="20" t="str">
        <f aca="false">IF(J97="","",(J97-L97)*M97)</f>
        <v/>
      </c>
      <c r="O97" s="20" t="str">
        <f aca="false">IF(J97="","",J97-L97-N97)</f>
        <v/>
      </c>
      <c r="P97" s="16"/>
      <c r="Q97" s="16"/>
      <c r="R97" s="16"/>
      <c r="S97" s="16"/>
      <c r="T97" s="14" t="str">
        <f aca="false">IF(F97="","",MONTH(F97))</f>
        <v/>
      </c>
      <c r="U97" s="14" t="str">
        <f aca="false">IF(F97="","",YEAR(F97))</f>
        <v/>
      </c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7"/>
      <c r="G98" s="17"/>
      <c r="H98" s="18" t="str">
        <f aca="false">IF(OR(F98="",G98=""),"",G98-F98)</f>
        <v/>
      </c>
      <c r="I98" s="19"/>
      <c r="J98" s="20" t="str">
        <f aca="false">IF(OR(H98="",I98=""),"",H98*I98)</f>
        <v/>
      </c>
      <c r="K98" s="21" t="str">
        <f aca="false">IF(C98="","",IFERROR(INDEX(Paramètres!$E$9:$E$11,MATCH(C98,Paramètres!$D$9:$D$11,0)),0))</f>
        <v/>
      </c>
      <c r="L98" s="20" t="str">
        <f aca="false">IF(J98="","",J98*K98)</f>
        <v/>
      </c>
      <c r="M98" s="21" t="str">
        <f aca="false">IF(B98="","",IFERROR(INDEX(Propriétaires!$E$4:$E$13,MATCH(B98,Propriétaires!$A$4:$A$13,0)),0.2))</f>
        <v/>
      </c>
      <c r="N98" s="20" t="str">
        <f aca="false">IF(J98="","",(J98-L98)*M98)</f>
        <v/>
      </c>
      <c r="O98" s="20" t="str">
        <f aca="false">IF(J98="","",J98-L98-N98)</f>
        <v/>
      </c>
      <c r="P98" s="16"/>
      <c r="Q98" s="16"/>
      <c r="R98" s="16"/>
      <c r="S98" s="16"/>
      <c r="T98" s="14" t="str">
        <f aca="false">IF(F98="","",MONTH(F98))</f>
        <v/>
      </c>
      <c r="U98" s="14" t="str">
        <f aca="false">IF(F98="","",YEAR(F98))</f>
        <v/>
      </c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7"/>
      <c r="G99" s="17"/>
      <c r="H99" s="18" t="str">
        <f aca="false">IF(OR(F99="",G99=""),"",G99-F99)</f>
        <v/>
      </c>
      <c r="I99" s="19"/>
      <c r="J99" s="20" t="str">
        <f aca="false">IF(OR(H99="",I99=""),"",H99*I99)</f>
        <v/>
      </c>
      <c r="K99" s="21" t="str">
        <f aca="false">IF(C99="","",IFERROR(INDEX(Paramètres!$E$9:$E$11,MATCH(C99,Paramètres!$D$9:$D$11,0)),0))</f>
        <v/>
      </c>
      <c r="L99" s="20" t="str">
        <f aca="false">IF(J99="","",J99*K99)</f>
        <v/>
      </c>
      <c r="M99" s="21" t="str">
        <f aca="false">IF(B99="","",IFERROR(INDEX(Propriétaires!$E$4:$E$13,MATCH(B99,Propriétaires!$A$4:$A$13,0)),0.2))</f>
        <v/>
      </c>
      <c r="N99" s="20" t="str">
        <f aca="false">IF(J99="","",(J99-L99)*M99)</f>
        <v/>
      </c>
      <c r="O99" s="20" t="str">
        <f aca="false">IF(J99="","",J99-L99-N99)</f>
        <v/>
      </c>
      <c r="P99" s="16"/>
      <c r="Q99" s="16"/>
      <c r="R99" s="16"/>
      <c r="S99" s="16"/>
      <c r="T99" s="14" t="str">
        <f aca="false">IF(F99="","",MONTH(F99))</f>
        <v/>
      </c>
      <c r="U99" s="14" t="str">
        <f aca="false">IF(F99="","",YEAR(F99))</f>
        <v/>
      </c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7"/>
      <c r="G100" s="17"/>
      <c r="H100" s="18" t="str">
        <f aca="false">IF(OR(F100="",G100=""),"",G100-F100)</f>
        <v/>
      </c>
      <c r="I100" s="19"/>
      <c r="J100" s="20" t="str">
        <f aca="false">IF(OR(H100="",I100=""),"",H100*I100)</f>
        <v/>
      </c>
      <c r="K100" s="21" t="str">
        <f aca="false">IF(C100="","",IFERROR(INDEX(Paramètres!$E$9:$E$11,MATCH(C100,Paramètres!$D$9:$D$11,0)),0))</f>
        <v/>
      </c>
      <c r="L100" s="20" t="str">
        <f aca="false">IF(J100="","",J100*K100)</f>
        <v/>
      </c>
      <c r="M100" s="21" t="str">
        <f aca="false">IF(B100="","",IFERROR(INDEX(Propriétaires!$E$4:$E$13,MATCH(B100,Propriétaires!$A$4:$A$13,0)),0.2))</f>
        <v/>
      </c>
      <c r="N100" s="20" t="str">
        <f aca="false">IF(J100="","",(J100-L100)*M100)</f>
        <v/>
      </c>
      <c r="O100" s="20" t="str">
        <f aca="false">IF(J100="","",J100-L100-N100)</f>
        <v/>
      </c>
      <c r="P100" s="16"/>
      <c r="Q100" s="16"/>
      <c r="R100" s="16"/>
      <c r="S100" s="16"/>
      <c r="T100" s="14" t="str">
        <f aca="false">IF(F100="","",MONTH(F100))</f>
        <v/>
      </c>
      <c r="U100" s="14" t="str">
        <f aca="false">IF(F100="","",YEAR(F100))</f>
        <v/>
      </c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7"/>
      <c r="G101" s="17"/>
      <c r="H101" s="18" t="str">
        <f aca="false">IF(OR(F101="",G101=""),"",G101-F101)</f>
        <v/>
      </c>
      <c r="I101" s="19"/>
      <c r="J101" s="20" t="str">
        <f aca="false">IF(OR(H101="",I101=""),"",H101*I101)</f>
        <v/>
      </c>
      <c r="K101" s="21" t="str">
        <f aca="false">IF(C101="","",IFERROR(INDEX(Paramètres!$E$9:$E$11,MATCH(C101,Paramètres!$D$9:$D$11,0)),0))</f>
        <v/>
      </c>
      <c r="L101" s="20" t="str">
        <f aca="false">IF(J101="","",J101*K101)</f>
        <v/>
      </c>
      <c r="M101" s="21" t="str">
        <f aca="false">IF(B101="","",IFERROR(INDEX(Propriétaires!$E$4:$E$13,MATCH(B101,Propriétaires!$A$4:$A$13,0)),0.2))</f>
        <v/>
      </c>
      <c r="N101" s="20" t="str">
        <f aca="false">IF(J101="","",(J101-L101)*M101)</f>
        <v/>
      </c>
      <c r="O101" s="20" t="str">
        <f aca="false">IF(J101="","",J101-L101-N101)</f>
        <v/>
      </c>
      <c r="P101" s="16"/>
      <c r="Q101" s="16"/>
      <c r="R101" s="16"/>
      <c r="S101" s="16"/>
      <c r="T101" s="14" t="str">
        <f aca="false">IF(F101="","",MONTH(F101))</f>
        <v/>
      </c>
      <c r="U101" s="14" t="str">
        <f aca="false">IF(F101="","",YEAR(F101))</f>
        <v/>
      </c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7"/>
      <c r="G102" s="17"/>
      <c r="H102" s="18" t="str">
        <f aca="false">IF(OR(F102="",G102=""),"",G102-F102)</f>
        <v/>
      </c>
      <c r="I102" s="19"/>
      <c r="J102" s="20" t="str">
        <f aca="false">IF(OR(H102="",I102=""),"",H102*I102)</f>
        <v/>
      </c>
      <c r="K102" s="21" t="str">
        <f aca="false">IF(C102="","",IFERROR(INDEX(Paramètres!$E$9:$E$11,MATCH(C102,Paramètres!$D$9:$D$11,0)),0))</f>
        <v/>
      </c>
      <c r="L102" s="20" t="str">
        <f aca="false">IF(J102="","",J102*K102)</f>
        <v/>
      </c>
      <c r="M102" s="21" t="str">
        <f aca="false">IF(B102="","",IFERROR(INDEX(Propriétaires!$E$4:$E$13,MATCH(B102,Propriétaires!$A$4:$A$13,0)),0.2))</f>
        <v/>
      </c>
      <c r="N102" s="20" t="str">
        <f aca="false">IF(J102="","",(J102-L102)*M102)</f>
        <v/>
      </c>
      <c r="O102" s="20" t="str">
        <f aca="false">IF(J102="","",J102-L102-N102)</f>
        <v/>
      </c>
      <c r="P102" s="16"/>
      <c r="Q102" s="16"/>
      <c r="R102" s="16"/>
      <c r="S102" s="16"/>
      <c r="T102" s="14" t="str">
        <f aca="false">IF(F102="","",MONTH(F102))</f>
        <v/>
      </c>
      <c r="U102" s="14" t="str">
        <f aca="false">IF(F102="","",YEAR(F102))</f>
        <v/>
      </c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7"/>
      <c r="G103" s="17"/>
      <c r="H103" s="18" t="str">
        <f aca="false">IF(OR(F103="",G103=""),"",G103-F103)</f>
        <v/>
      </c>
      <c r="I103" s="19"/>
      <c r="J103" s="20" t="str">
        <f aca="false">IF(OR(H103="",I103=""),"",H103*I103)</f>
        <v/>
      </c>
      <c r="K103" s="21" t="str">
        <f aca="false">IF(C103="","",IFERROR(INDEX(Paramètres!$E$9:$E$11,MATCH(C103,Paramètres!$D$9:$D$11,0)),0))</f>
        <v/>
      </c>
      <c r="L103" s="20" t="str">
        <f aca="false">IF(J103="","",J103*K103)</f>
        <v/>
      </c>
      <c r="M103" s="21" t="str">
        <f aca="false">IF(B103="","",IFERROR(INDEX(Propriétaires!$E$4:$E$13,MATCH(B103,Propriétaires!$A$4:$A$13,0)),0.2))</f>
        <v/>
      </c>
      <c r="N103" s="20" t="str">
        <f aca="false">IF(J103="","",(J103-L103)*M103)</f>
        <v/>
      </c>
      <c r="O103" s="20" t="str">
        <f aca="false">IF(J103="","",J103-L103-N103)</f>
        <v/>
      </c>
      <c r="P103" s="16"/>
      <c r="Q103" s="16"/>
      <c r="R103" s="16"/>
      <c r="S103" s="16"/>
      <c r="T103" s="14" t="str">
        <f aca="false">IF(F103="","",MONTH(F103))</f>
        <v/>
      </c>
      <c r="U103" s="14" t="str">
        <f aca="false">IF(F103="","",YEAR(F103))</f>
        <v/>
      </c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7"/>
      <c r="G104" s="17"/>
      <c r="H104" s="18" t="str">
        <f aca="false">IF(OR(F104="",G104=""),"",G104-F104)</f>
        <v/>
      </c>
      <c r="I104" s="19"/>
      <c r="J104" s="20" t="str">
        <f aca="false">IF(OR(H104="",I104=""),"",H104*I104)</f>
        <v/>
      </c>
      <c r="K104" s="21" t="str">
        <f aca="false">IF(C104="","",IFERROR(INDEX(Paramètres!$E$9:$E$11,MATCH(C104,Paramètres!$D$9:$D$11,0)),0))</f>
        <v/>
      </c>
      <c r="L104" s="20" t="str">
        <f aca="false">IF(J104="","",J104*K104)</f>
        <v/>
      </c>
      <c r="M104" s="21" t="str">
        <f aca="false">IF(B104="","",IFERROR(INDEX(Propriétaires!$E$4:$E$13,MATCH(B104,Propriétaires!$A$4:$A$13,0)),0.2))</f>
        <v/>
      </c>
      <c r="N104" s="20" t="str">
        <f aca="false">IF(J104="","",(J104-L104)*M104)</f>
        <v/>
      </c>
      <c r="O104" s="20" t="str">
        <f aca="false">IF(J104="","",J104-L104-N104)</f>
        <v/>
      </c>
      <c r="P104" s="16"/>
      <c r="Q104" s="16"/>
      <c r="R104" s="16"/>
      <c r="S104" s="16"/>
      <c r="T104" s="14" t="str">
        <f aca="false">IF(F104="","",MONTH(F104))</f>
        <v/>
      </c>
      <c r="U104" s="14" t="str">
        <f aca="false">IF(F104="","",YEAR(F104))</f>
        <v/>
      </c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7"/>
      <c r="G105" s="17"/>
      <c r="H105" s="18" t="str">
        <f aca="false">IF(OR(F105="",G105=""),"",G105-F105)</f>
        <v/>
      </c>
      <c r="I105" s="19"/>
      <c r="J105" s="20" t="str">
        <f aca="false">IF(OR(H105="",I105=""),"",H105*I105)</f>
        <v/>
      </c>
      <c r="K105" s="21" t="str">
        <f aca="false">IF(C105="","",IFERROR(INDEX(Paramètres!$E$9:$E$11,MATCH(C105,Paramètres!$D$9:$D$11,0)),0))</f>
        <v/>
      </c>
      <c r="L105" s="20" t="str">
        <f aca="false">IF(J105="","",J105*K105)</f>
        <v/>
      </c>
      <c r="M105" s="21" t="str">
        <f aca="false">IF(B105="","",IFERROR(INDEX(Propriétaires!$E$4:$E$13,MATCH(B105,Propriétaires!$A$4:$A$13,0)),0.2))</f>
        <v/>
      </c>
      <c r="N105" s="20" t="str">
        <f aca="false">IF(J105="","",(J105-L105)*M105)</f>
        <v/>
      </c>
      <c r="O105" s="20" t="str">
        <f aca="false">IF(J105="","",J105-L105-N105)</f>
        <v/>
      </c>
      <c r="P105" s="16"/>
      <c r="Q105" s="16"/>
      <c r="R105" s="16"/>
      <c r="S105" s="16"/>
      <c r="T105" s="14" t="str">
        <f aca="false">IF(F105="","",MONTH(F105))</f>
        <v/>
      </c>
      <c r="U105" s="14" t="str">
        <f aca="false">IF(F105="","",YEAR(F105))</f>
        <v/>
      </c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7"/>
      <c r="G106" s="17"/>
      <c r="H106" s="18" t="str">
        <f aca="false">IF(OR(F106="",G106=""),"",G106-F106)</f>
        <v/>
      </c>
      <c r="I106" s="19"/>
      <c r="J106" s="20" t="str">
        <f aca="false">IF(OR(H106="",I106=""),"",H106*I106)</f>
        <v/>
      </c>
      <c r="K106" s="21" t="str">
        <f aca="false">IF(C106="","",IFERROR(INDEX(Paramètres!$E$9:$E$11,MATCH(C106,Paramètres!$D$9:$D$11,0)),0))</f>
        <v/>
      </c>
      <c r="L106" s="20" t="str">
        <f aca="false">IF(J106="","",J106*K106)</f>
        <v/>
      </c>
      <c r="M106" s="21" t="str">
        <f aca="false">IF(B106="","",IFERROR(INDEX(Propriétaires!$E$4:$E$13,MATCH(B106,Propriétaires!$A$4:$A$13,0)),0.2))</f>
        <v/>
      </c>
      <c r="N106" s="20" t="str">
        <f aca="false">IF(J106="","",(J106-L106)*M106)</f>
        <v/>
      </c>
      <c r="O106" s="20" t="str">
        <f aca="false">IF(J106="","",J106-L106-N106)</f>
        <v/>
      </c>
      <c r="P106" s="16"/>
      <c r="Q106" s="16"/>
      <c r="R106" s="16"/>
      <c r="S106" s="16"/>
      <c r="T106" s="14" t="str">
        <f aca="false">IF(F106="","",MONTH(F106))</f>
        <v/>
      </c>
      <c r="U106" s="14" t="str">
        <f aca="false">IF(F106="","",YEAR(F106))</f>
        <v/>
      </c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7"/>
      <c r="G107" s="17"/>
      <c r="H107" s="18" t="str">
        <f aca="false">IF(OR(F107="",G107=""),"",G107-F107)</f>
        <v/>
      </c>
      <c r="I107" s="19"/>
      <c r="J107" s="20" t="str">
        <f aca="false">IF(OR(H107="",I107=""),"",H107*I107)</f>
        <v/>
      </c>
      <c r="K107" s="21" t="str">
        <f aca="false">IF(C107="","",IFERROR(INDEX(Paramètres!$E$9:$E$11,MATCH(C107,Paramètres!$D$9:$D$11,0)),0))</f>
        <v/>
      </c>
      <c r="L107" s="20" t="str">
        <f aca="false">IF(J107="","",J107*K107)</f>
        <v/>
      </c>
      <c r="M107" s="21" t="str">
        <f aca="false">IF(B107="","",IFERROR(INDEX(Propriétaires!$E$4:$E$13,MATCH(B107,Propriétaires!$A$4:$A$13,0)),0.2))</f>
        <v/>
      </c>
      <c r="N107" s="20" t="str">
        <f aca="false">IF(J107="","",(J107-L107)*M107)</f>
        <v/>
      </c>
      <c r="O107" s="20" t="str">
        <f aca="false">IF(J107="","",J107-L107-N107)</f>
        <v/>
      </c>
      <c r="P107" s="16"/>
      <c r="Q107" s="16"/>
      <c r="R107" s="16"/>
      <c r="S107" s="16"/>
      <c r="T107" s="14" t="str">
        <f aca="false">IF(F107="","",MONTH(F107))</f>
        <v/>
      </c>
      <c r="U107" s="14" t="str">
        <f aca="false">IF(F107="","",YEAR(F107))</f>
        <v/>
      </c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7"/>
      <c r="G108" s="17"/>
      <c r="H108" s="18" t="str">
        <f aca="false">IF(OR(F108="",G108=""),"",G108-F108)</f>
        <v/>
      </c>
      <c r="I108" s="19"/>
      <c r="J108" s="20" t="str">
        <f aca="false">IF(OR(H108="",I108=""),"",H108*I108)</f>
        <v/>
      </c>
      <c r="K108" s="21" t="str">
        <f aca="false">IF(C108="","",IFERROR(INDEX(Paramètres!$E$9:$E$11,MATCH(C108,Paramètres!$D$9:$D$11,0)),0))</f>
        <v/>
      </c>
      <c r="L108" s="20" t="str">
        <f aca="false">IF(J108="","",J108*K108)</f>
        <v/>
      </c>
      <c r="M108" s="21" t="str">
        <f aca="false">IF(B108="","",IFERROR(INDEX(Propriétaires!$E$4:$E$13,MATCH(B108,Propriétaires!$A$4:$A$13,0)),0.2))</f>
        <v/>
      </c>
      <c r="N108" s="20" t="str">
        <f aca="false">IF(J108="","",(J108-L108)*M108)</f>
        <v/>
      </c>
      <c r="O108" s="20" t="str">
        <f aca="false">IF(J108="","",J108-L108-N108)</f>
        <v/>
      </c>
      <c r="P108" s="16"/>
      <c r="Q108" s="16"/>
      <c r="R108" s="16"/>
      <c r="S108" s="16"/>
      <c r="T108" s="14" t="str">
        <f aca="false">IF(F108="","",MONTH(F108))</f>
        <v/>
      </c>
      <c r="U108" s="14" t="str">
        <f aca="false">IF(F108="","",YEAR(F108))</f>
        <v/>
      </c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7"/>
      <c r="G109" s="17"/>
      <c r="H109" s="18" t="str">
        <f aca="false">IF(OR(F109="",G109=""),"",G109-F109)</f>
        <v/>
      </c>
      <c r="I109" s="19"/>
      <c r="J109" s="20" t="str">
        <f aca="false">IF(OR(H109="",I109=""),"",H109*I109)</f>
        <v/>
      </c>
      <c r="K109" s="21" t="str">
        <f aca="false">IF(C109="","",IFERROR(INDEX(Paramètres!$E$9:$E$11,MATCH(C109,Paramètres!$D$9:$D$11,0)),0))</f>
        <v/>
      </c>
      <c r="L109" s="20" t="str">
        <f aca="false">IF(J109="","",J109*K109)</f>
        <v/>
      </c>
      <c r="M109" s="21" t="str">
        <f aca="false">IF(B109="","",IFERROR(INDEX(Propriétaires!$E$4:$E$13,MATCH(B109,Propriétaires!$A$4:$A$13,0)),0.2))</f>
        <v/>
      </c>
      <c r="N109" s="20" t="str">
        <f aca="false">IF(J109="","",(J109-L109)*M109)</f>
        <v/>
      </c>
      <c r="O109" s="20" t="str">
        <f aca="false">IF(J109="","",J109-L109-N109)</f>
        <v/>
      </c>
      <c r="P109" s="16"/>
      <c r="Q109" s="16"/>
      <c r="R109" s="16"/>
      <c r="S109" s="16"/>
      <c r="T109" s="14" t="str">
        <f aca="false">IF(F109="","",MONTH(F109))</f>
        <v/>
      </c>
      <c r="U109" s="14" t="str">
        <f aca="false">IF(F109="","",YEAR(F109))</f>
        <v/>
      </c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7"/>
      <c r="G110" s="17"/>
      <c r="H110" s="18" t="str">
        <f aca="false">IF(OR(F110="",G110=""),"",G110-F110)</f>
        <v/>
      </c>
      <c r="I110" s="19"/>
      <c r="J110" s="20" t="str">
        <f aca="false">IF(OR(H110="",I110=""),"",H110*I110)</f>
        <v/>
      </c>
      <c r="K110" s="21" t="str">
        <f aca="false">IF(C110="","",IFERROR(INDEX(Paramètres!$E$9:$E$11,MATCH(C110,Paramètres!$D$9:$D$11,0)),0))</f>
        <v/>
      </c>
      <c r="L110" s="20" t="str">
        <f aca="false">IF(J110="","",J110*K110)</f>
        <v/>
      </c>
      <c r="M110" s="21" t="str">
        <f aca="false">IF(B110="","",IFERROR(INDEX(Propriétaires!$E$4:$E$13,MATCH(B110,Propriétaires!$A$4:$A$13,0)),0.2))</f>
        <v/>
      </c>
      <c r="N110" s="20" t="str">
        <f aca="false">IF(J110="","",(J110-L110)*M110)</f>
        <v/>
      </c>
      <c r="O110" s="20" t="str">
        <f aca="false">IF(J110="","",J110-L110-N110)</f>
        <v/>
      </c>
      <c r="P110" s="16"/>
      <c r="Q110" s="16"/>
      <c r="R110" s="16"/>
      <c r="S110" s="16"/>
      <c r="T110" s="14" t="str">
        <f aca="false">IF(F110="","",MONTH(F110))</f>
        <v/>
      </c>
      <c r="U110" s="14" t="str">
        <f aca="false">IF(F110="","",YEAR(F110))</f>
        <v/>
      </c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7"/>
      <c r="G111" s="17"/>
      <c r="H111" s="18" t="str">
        <f aca="false">IF(OR(F111="",G111=""),"",G111-F111)</f>
        <v/>
      </c>
      <c r="I111" s="19"/>
      <c r="J111" s="20" t="str">
        <f aca="false">IF(OR(H111="",I111=""),"",H111*I111)</f>
        <v/>
      </c>
      <c r="K111" s="21" t="str">
        <f aca="false">IF(C111="","",IFERROR(INDEX(Paramètres!$E$9:$E$11,MATCH(C111,Paramètres!$D$9:$D$11,0)),0))</f>
        <v/>
      </c>
      <c r="L111" s="20" t="str">
        <f aca="false">IF(J111="","",J111*K111)</f>
        <v/>
      </c>
      <c r="M111" s="21" t="str">
        <f aca="false">IF(B111="","",IFERROR(INDEX(Propriétaires!$E$4:$E$13,MATCH(B111,Propriétaires!$A$4:$A$13,0)),0.2))</f>
        <v/>
      </c>
      <c r="N111" s="20" t="str">
        <f aca="false">IF(J111="","",(J111-L111)*M111)</f>
        <v/>
      </c>
      <c r="O111" s="20" t="str">
        <f aca="false">IF(J111="","",J111-L111-N111)</f>
        <v/>
      </c>
      <c r="P111" s="16"/>
      <c r="Q111" s="16"/>
      <c r="R111" s="16"/>
      <c r="S111" s="16"/>
      <c r="T111" s="14" t="str">
        <f aca="false">IF(F111="","",MONTH(F111))</f>
        <v/>
      </c>
      <c r="U111" s="14" t="str">
        <f aca="false">IF(F111="","",YEAR(F111))</f>
        <v/>
      </c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7"/>
      <c r="G112" s="17"/>
      <c r="H112" s="18" t="str">
        <f aca="false">IF(OR(F112="",G112=""),"",G112-F112)</f>
        <v/>
      </c>
      <c r="I112" s="19"/>
      <c r="J112" s="20" t="str">
        <f aca="false">IF(OR(H112="",I112=""),"",H112*I112)</f>
        <v/>
      </c>
      <c r="K112" s="21" t="str">
        <f aca="false">IF(C112="","",IFERROR(INDEX(Paramètres!$E$9:$E$11,MATCH(C112,Paramètres!$D$9:$D$11,0)),0))</f>
        <v/>
      </c>
      <c r="L112" s="20" t="str">
        <f aca="false">IF(J112="","",J112*K112)</f>
        <v/>
      </c>
      <c r="M112" s="21" t="str">
        <f aca="false">IF(B112="","",IFERROR(INDEX(Propriétaires!$E$4:$E$13,MATCH(B112,Propriétaires!$A$4:$A$13,0)),0.2))</f>
        <v/>
      </c>
      <c r="N112" s="20" t="str">
        <f aca="false">IF(J112="","",(J112-L112)*M112)</f>
        <v/>
      </c>
      <c r="O112" s="20" t="str">
        <f aca="false">IF(J112="","",J112-L112-N112)</f>
        <v/>
      </c>
      <c r="P112" s="16"/>
      <c r="Q112" s="16"/>
      <c r="R112" s="16"/>
      <c r="S112" s="16"/>
      <c r="T112" s="14" t="str">
        <f aca="false">IF(F112="","",MONTH(F112))</f>
        <v/>
      </c>
      <c r="U112" s="14" t="str">
        <f aca="false">IF(F112="","",YEAR(F112))</f>
        <v/>
      </c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7"/>
      <c r="G113" s="17"/>
      <c r="H113" s="18" t="str">
        <f aca="false">IF(OR(F113="",G113=""),"",G113-F113)</f>
        <v/>
      </c>
      <c r="I113" s="19"/>
      <c r="J113" s="20" t="str">
        <f aca="false">IF(OR(H113="",I113=""),"",H113*I113)</f>
        <v/>
      </c>
      <c r="K113" s="21" t="str">
        <f aca="false">IF(C113="","",IFERROR(INDEX(Paramètres!$E$9:$E$11,MATCH(C113,Paramètres!$D$9:$D$11,0)),0))</f>
        <v/>
      </c>
      <c r="L113" s="20" t="str">
        <f aca="false">IF(J113="","",J113*K113)</f>
        <v/>
      </c>
      <c r="M113" s="21" t="str">
        <f aca="false">IF(B113="","",IFERROR(INDEX(Propriétaires!$E$4:$E$13,MATCH(B113,Propriétaires!$A$4:$A$13,0)),0.2))</f>
        <v/>
      </c>
      <c r="N113" s="20" t="str">
        <f aca="false">IF(J113="","",(J113-L113)*M113)</f>
        <v/>
      </c>
      <c r="O113" s="20" t="str">
        <f aca="false">IF(J113="","",J113-L113-N113)</f>
        <v/>
      </c>
      <c r="P113" s="16"/>
      <c r="Q113" s="16"/>
      <c r="R113" s="16"/>
      <c r="S113" s="16"/>
      <c r="T113" s="14" t="str">
        <f aca="false">IF(F113="","",MONTH(F113))</f>
        <v/>
      </c>
      <c r="U113" s="14" t="str">
        <f aca="false">IF(F113="","",YEAR(F113))</f>
        <v/>
      </c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7"/>
      <c r="G114" s="17"/>
      <c r="H114" s="18" t="str">
        <f aca="false">IF(OR(F114="",G114=""),"",G114-F114)</f>
        <v/>
      </c>
      <c r="I114" s="19"/>
      <c r="J114" s="20" t="str">
        <f aca="false">IF(OR(H114="",I114=""),"",H114*I114)</f>
        <v/>
      </c>
      <c r="K114" s="21" t="str">
        <f aca="false">IF(C114="","",IFERROR(INDEX(Paramètres!$E$9:$E$11,MATCH(C114,Paramètres!$D$9:$D$11,0)),0))</f>
        <v/>
      </c>
      <c r="L114" s="20" t="str">
        <f aca="false">IF(J114="","",J114*K114)</f>
        <v/>
      </c>
      <c r="M114" s="21" t="str">
        <f aca="false">IF(B114="","",IFERROR(INDEX(Propriétaires!$E$4:$E$13,MATCH(B114,Propriétaires!$A$4:$A$13,0)),0.2))</f>
        <v/>
      </c>
      <c r="N114" s="20" t="str">
        <f aca="false">IF(J114="","",(J114-L114)*M114)</f>
        <v/>
      </c>
      <c r="O114" s="20" t="str">
        <f aca="false">IF(J114="","",J114-L114-N114)</f>
        <v/>
      </c>
      <c r="P114" s="16"/>
      <c r="Q114" s="16"/>
      <c r="R114" s="16"/>
      <c r="S114" s="16"/>
      <c r="T114" s="14" t="str">
        <f aca="false">IF(F114="","",MONTH(F114))</f>
        <v/>
      </c>
      <c r="U114" s="14" t="str">
        <f aca="false">IF(F114="","",YEAR(F114))</f>
        <v/>
      </c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7"/>
      <c r="G115" s="17"/>
      <c r="H115" s="18" t="str">
        <f aca="false">IF(OR(F115="",G115=""),"",G115-F115)</f>
        <v/>
      </c>
      <c r="I115" s="19"/>
      <c r="J115" s="20" t="str">
        <f aca="false">IF(OR(H115="",I115=""),"",H115*I115)</f>
        <v/>
      </c>
      <c r="K115" s="21" t="str">
        <f aca="false">IF(C115="","",IFERROR(INDEX(Paramètres!$E$9:$E$11,MATCH(C115,Paramètres!$D$9:$D$11,0)),0))</f>
        <v/>
      </c>
      <c r="L115" s="20" t="str">
        <f aca="false">IF(J115="","",J115*K115)</f>
        <v/>
      </c>
      <c r="M115" s="21" t="str">
        <f aca="false">IF(B115="","",IFERROR(INDEX(Propriétaires!$E$4:$E$13,MATCH(B115,Propriétaires!$A$4:$A$13,0)),0.2))</f>
        <v/>
      </c>
      <c r="N115" s="20" t="str">
        <f aca="false">IF(J115="","",(J115-L115)*M115)</f>
        <v/>
      </c>
      <c r="O115" s="20" t="str">
        <f aca="false">IF(J115="","",J115-L115-N115)</f>
        <v/>
      </c>
      <c r="P115" s="16"/>
      <c r="Q115" s="16"/>
      <c r="R115" s="16"/>
      <c r="S115" s="16"/>
      <c r="T115" s="14" t="str">
        <f aca="false">IF(F115="","",MONTH(F115))</f>
        <v/>
      </c>
      <c r="U115" s="14" t="str">
        <f aca="false">IF(F115="","",YEAR(F115))</f>
        <v/>
      </c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7"/>
      <c r="G116" s="17"/>
      <c r="H116" s="18" t="str">
        <f aca="false">IF(OR(F116="",G116=""),"",G116-F116)</f>
        <v/>
      </c>
      <c r="I116" s="19"/>
      <c r="J116" s="20" t="str">
        <f aca="false">IF(OR(H116="",I116=""),"",H116*I116)</f>
        <v/>
      </c>
      <c r="K116" s="21" t="str">
        <f aca="false">IF(C116="","",IFERROR(INDEX(Paramètres!$E$9:$E$11,MATCH(C116,Paramètres!$D$9:$D$11,0)),0))</f>
        <v/>
      </c>
      <c r="L116" s="20" t="str">
        <f aca="false">IF(J116="","",J116*K116)</f>
        <v/>
      </c>
      <c r="M116" s="21" t="str">
        <f aca="false">IF(B116="","",IFERROR(INDEX(Propriétaires!$E$4:$E$13,MATCH(B116,Propriétaires!$A$4:$A$13,0)),0.2))</f>
        <v/>
      </c>
      <c r="N116" s="20" t="str">
        <f aca="false">IF(J116="","",(J116-L116)*M116)</f>
        <v/>
      </c>
      <c r="O116" s="20" t="str">
        <f aca="false">IF(J116="","",J116-L116-N116)</f>
        <v/>
      </c>
      <c r="P116" s="16"/>
      <c r="Q116" s="16"/>
      <c r="R116" s="16"/>
      <c r="S116" s="16"/>
      <c r="T116" s="14" t="str">
        <f aca="false">IF(F116="","",MONTH(F116))</f>
        <v/>
      </c>
      <c r="U116" s="14" t="str">
        <f aca="false">IF(F116="","",YEAR(F116))</f>
        <v/>
      </c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7"/>
      <c r="G117" s="17"/>
      <c r="H117" s="18" t="str">
        <f aca="false">IF(OR(F117="",G117=""),"",G117-F117)</f>
        <v/>
      </c>
      <c r="I117" s="19"/>
      <c r="J117" s="20" t="str">
        <f aca="false">IF(OR(H117="",I117=""),"",H117*I117)</f>
        <v/>
      </c>
      <c r="K117" s="21" t="str">
        <f aca="false">IF(C117="","",IFERROR(INDEX(Paramètres!$E$9:$E$11,MATCH(C117,Paramètres!$D$9:$D$11,0)),0))</f>
        <v/>
      </c>
      <c r="L117" s="20" t="str">
        <f aca="false">IF(J117="","",J117*K117)</f>
        <v/>
      </c>
      <c r="M117" s="21" t="str">
        <f aca="false">IF(B117="","",IFERROR(INDEX(Propriétaires!$E$4:$E$13,MATCH(B117,Propriétaires!$A$4:$A$13,0)),0.2))</f>
        <v/>
      </c>
      <c r="N117" s="20" t="str">
        <f aca="false">IF(J117="","",(J117-L117)*M117)</f>
        <v/>
      </c>
      <c r="O117" s="20" t="str">
        <f aca="false">IF(J117="","",J117-L117-N117)</f>
        <v/>
      </c>
      <c r="P117" s="16"/>
      <c r="Q117" s="16"/>
      <c r="R117" s="16"/>
      <c r="S117" s="16"/>
      <c r="T117" s="14" t="str">
        <f aca="false">IF(F117="","",MONTH(F117))</f>
        <v/>
      </c>
      <c r="U117" s="14" t="str">
        <f aca="false">IF(F117="","",YEAR(F117))</f>
        <v/>
      </c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7"/>
      <c r="G118" s="17"/>
      <c r="H118" s="18" t="str">
        <f aca="false">IF(OR(F118="",G118=""),"",G118-F118)</f>
        <v/>
      </c>
      <c r="I118" s="19"/>
      <c r="J118" s="20" t="str">
        <f aca="false">IF(OR(H118="",I118=""),"",H118*I118)</f>
        <v/>
      </c>
      <c r="K118" s="21" t="str">
        <f aca="false">IF(C118="","",IFERROR(INDEX(Paramètres!$E$9:$E$11,MATCH(C118,Paramètres!$D$9:$D$11,0)),0))</f>
        <v/>
      </c>
      <c r="L118" s="20" t="str">
        <f aca="false">IF(J118="","",J118*K118)</f>
        <v/>
      </c>
      <c r="M118" s="21" t="str">
        <f aca="false">IF(B118="","",IFERROR(INDEX(Propriétaires!$E$4:$E$13,MATCH(B118,Propriétaires!$A$4:$A$13,0)),0.2))</f>
        <v/>
      </c>
      <c r="N118" s="20" t="str">
        <f aca="false">IF(J118="","",(J118-L118)*M118)</f>
        <v/>
      </c>
      <c r="O118" s="20" t="str">
        <f aca="false">IF(J118="","",J118-L118-N118)</f>
        <v/>
      </c>
      <c r="P118" s="16"/>
      <c r="Q118" s="16"/>
      <c r="R118" s="16"/>
      <c r="S118" s="16"/>
      <c r="T118" s="14" t="str">
        <f aca="false">IF(F118="","",MONTH(F118))</f>
        <v/>
      </c>
      <c r="U118" s="14" t="str">
        <f aca="false">IF(F118="","",YEAR(F118))</f>
        <v/>
      </c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7"/>
      <c r="G119" s="17"/>
      <c r="H119" s="18" t="str">
        <f aca="false">IF(OR(F119="",G119=""),"",G119-F119)</f>
        <v/>
      </c>
      <c r="I119" s="19"/>
      <c r="J119" s="20" t="str">
        <f aca="false">IF(OR(H119="",I119=""),"",H119*I119)</f>
        <v/>
      </c>
      <c r="K119" s="21" t="str">
        <f aca="false">IF(C119="","",IFERROR(INDEX(Paramètres!$E$9:$E$11,MATCH(C119,Paramètres!$D$9:$D$11,0)),0))</f>
        <v/>
      </c>
      <c r="L119" s="20" t="str">
        <f aca="false">IF(J119="","",J119*K119)</f>
        <v/>
      </c>
      <c r="M119" s="21" t="str">
        <f aca="false">IF(B119="","",IFERROR(INDEX(Propriétaires!$E$4:$E$13,MATCH(B119,Propriétaires!$A$4:$A$13,0)),0.2))</f>
        <v/>
      </c>
      <c r="N119" s="20" t="str">
        <f aca="false">IF(J119="","",(J119-L119)*M119)</f>
        <v/>
      </c>
      <c r="O119" s="20" t="str">
        <f aca="false">IF(J119="","",J119-L119-N119)</f>
        <v/>
      </c>
      <c r="P119" s="16"/>
      <c r="Q119" s="16"/>
      <c r="R119" s="16"/>
      <c r="S119" s="16"/>
      <c r="T119" s="14" t="str">
        <f aca="false">IF(F119="","",MONTH(F119))</f>
        <v/>
      </c>
      <c r="U119" s="14" t="str">
        <f aca="false">IF(F119="","",YEAR(F119))</f>
        <v/>
      </c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7"/>
      <c r="G120" s="17"/>
      <c r="H120" s="18" t="str">
        <f aca="false">IF(OR(F120="",G120=""),"",G120-F120)</f>
        <v/>
      </c>
      <c r="I120" s="19"/>
      <c r="J120" s="20" t="str">
        <f aca="false">IF(OR(H120="",I120=""),"",H120*I120)</f>
        <v/>
      </c>
      <c r="K120" s="21" t="str">
        <f aca="false">IF(C120="","",IFERROR(INDEX(Paramètres!$E$9:$E$11,MATCH(C120,Paramètres!$D$9:$D$11,0)),0))</f>
        <v/>
      </c>
      <c r="L120" s="20" t="str">
        <f aca="false">IF(J120="","",J120*K120)</f>
        <v/>
      </c>
      <c r="M120" s="21" t="str">
        <f aca="false">IF(B120="","",IFERROR(INDEX(Propriétaires!$E$4:$E$13,MATCH(B120,Propriétaires!$A$4:$A$13,0)),0.2))</f>
        <v/>
      </c>
      <c r="N120" s="20" t="str">
        <f aca="false">IF(J120="","",(J120-L120)*M120)</f>
        <v/>
      </c>
      <c r="O120" s="20" t="str">
        <f aca="false">IF(J120="","",J120-L120-N120)</f>
        <v/>
      </c>
      <c r="P120" s="16"/>
      <c r="Q120" s="16"/>
      <c r="R120" s="16"/>
      <c r="S120" s="16"/>
      <c r="T120" s="14" t="str">
        <f aca="false">IF(F120="","",MONTH(F120))</f>
        <v/>
      </c>
      <c r="U120" s="14" t="str">
        <f aca="false">IF(F120="","",YEAR(F120))</f>
        <v/>
      </c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7"/>
      <c r="G121" s="17"/>
      <c r="H121" s="18" t="str">
        <f aca="false">IF(OR(F121="",G121=""),"",G121-F121)</f>
        <v/>
      </c>
      <c r="I121" s="19"/>
      <c r="J121" s="20" t="str">
        <f aca="false">IF(OR(H121="",I121=""),"",H121*I121)</f>
        <v/>
      </c>
      <c r="K121" s="21" t="str">
        <f aca="false">IF(C121="","",IFERROR(INDEX(Paramètres!$E$9:$E$11,MATCH(C121,Paramètres!$D$9:$D$11,0)),0))</f>
        <v/>
      </c>
      <c r="L121" s="20" t="str">
        <f aca="false">IF(J121="","",J121*K121)</f>
        <v/>
      </c>
      <c r="M121" s="21" t="str">
        <f aca="false">IF(B121="","",IFERROR(INDEX(Propriétaires!$E$4:$E$13,MATCH(B121,Propriétaires!$A$4:$A$13,0)),0.2))</f>
        <v/>
      </c>
      <c r="N121" s="20" t="str">
        <f aca="false">IF(J121="","",(J121-L121)*M121)</f>
        <v/>
      </c>
      <c r="O121" s="20" t="str">
        <f aca="false">IF(J121="","",J121-L121-N121)</f>
        <v/>
      </c>
      <c r="P121" s="16"/>
      <c r="Q121" s="16"/>
      <c r="R121" s="16"/>
      <c r="S121" s="16"/>
      <c r="T121" s="14" t="str">
        <f aca="false">IF(F121="","",MONTH(F121))</f>
        <v/>
      </c>
      <c r="U121" s="14" t="str">
        <f aca="false">IF(F121="","",YEAR(F121))</f>
        <v/>
      </c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7"/>
      <c r="G122" s="17"/>
      <c r="H122" s="18" t="str">
        <f aca="false">IF(OR(F122="",G122=""),"",G122-F122)</f>
        <v/>
      </c>
      <c r="I122" s="19"/>
      <c r="J122" s="20" t="str">
        <f aca="false">IF(OR(H122="",I122=""),"",H122*I122)</f>
        <v/>
      </c>
      <c r="K122" s="21" t="str">
        <f aca="false">IF(C122="","",IFERROR(INDEX(Paramètres!$E$9:$E$11,MATCH(C122,Paramètres!$D$9:$D$11,0)),0))</f>
        <v/>
      </c>
      <c r="L122" s="20" t="str">
        <f aca="false">IF(J122="","",J122*K122)</f>
        <v/>
      </c>
      <c r="M122" s="21" t="str">
        <f aca="false">IF(B122="","",IFERROR(INDEX(Propriétaires!$E$4:$E$13,MATCH(B122,Propriétaires!$A$4:$A$13,0)),0.2))</f>
        <v/>
      </c>
      <c r="N122" s="20" t="str">
        <f aca="false">IF(J122="","",(J122-L122)*M122)</f>
        <v/>
      </c>
      <c r="O122" s="20" t="str">
        <f aca="false">IF(J122="","",J122-L122-N122)</f>
        <v/>
      </c>
      <c r="P122" s="16"/>
      <c r="Q122" s="16"/>
      <c r="R122" s="16"/>
      <c r="S122" s="16"/>
      <c r="T122" s="14" t="str">
        <f aca="false">IF(F122="","",MONTH(F122))</f>
        <v/>
      </c>
      <c r="U122" s="14" t="str">
        <f aca="false">IF(F122="","",YEAR(F122))</f>
        <v/>
      </c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7"/>
      <c r="G123" s="17"/>
      <c r="H123" s="18" t="str">
        <f aca="false">IF(OR(F123="",G123=""),"",G123-F123)</f>
        <v/>
      </c>
      <c r="I123" s="19"/>
      <c r="J123" s="20" t="str">
        <f aca="false">IF(OR(H123="",I123=""),"",H123*I123)</f>
        <v/>
      </c>
      <c r="K123" s="21" t="str">
        <f aca="false">IF(C123="","",IFERROR(INDEX(Paramètres!$E$9:$E$11,MATCH(C123,Paramètres!$D$9:$D$11,0)),0))</f>
        <v/>
      </c>
      <c r="L123" s="20" t="str">
        <f aca="false">IF(J123="","",J123*K123)</f>
        <v/>
      </c>
      <c r="M123" s="21" t="str">
        <f aca="false">IF(B123="","",IFERROR(INDEX(Propriétaires!$E$4:$E$13,MATCH(B123,Propriétaires!$A$4:$A$13,0)),0.2))</f>
        <v/>
      </c>
      <c r="N123" s="20" t="str">
        <f aca="false">IF(J123="","",(J123-L123)*M123)</f>
        <v/>
      </c>
      <c r="O123" s="20" t="str">
        <f aca="false">IF(J123="","",J123-L123-N123)</f>
        <v/>
      </c>
      <c r="P123" s="16"/>
      <c r="Q123" s="16"/>
      <c r="R123" s="16"/>
      <c r="S123" s="16"/>
      <c r="T123" s="14" t="str">
        <f aca="false">IF(F123="","",MONTH(F123))</f>
        <v/>
      </c>
      <c r="U123" s="14" t="str">
        <f aca="false">IF(F123="","",YEAR(F123))</f>
        <v/>
      </c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7"/>
      <c r="G124" s="17"/>
      <c r="H124" s="18" t="str">
        <f aca="false">IF(OR(F124="",G124=""),"",G124-F124)</f>
        <v/>
      </c>
      <c r="I124" s="19"/>
      <c r="J124" s="20" t="str">
        <f aca="false">IF(OR(H124="",I124=""),"",H124*I124)</f>
        <v/>
      </c>
      <c r="K124" s="21" t="str">
        <f aca="false">IF(C124="","",IFERROR(INDEX(Paramètres!$E$9:$E$11,MATCH(C124,Paramètres!$D$9:$D$11,0)),0))</f>
        <v/>
      </c>
      <c r="L124" s="20" t="str">
        <f aca="false">IF(J124="","",J124*K124)</f>
        <v/>
      </c>
      <c r="M124" s="21" t="str">
        <f aca="false">IF(B124="","",IFERROR(INDEX(Propriétaires!$E$4:$E$13,MATCH(B124,Propriétaires!$A$4:$A$13,0)),0.2))</f>
        <v/>
      </c>
      <c r="N124" s="20" t="str">
        <f aca="false">IF(J124="","",(J124-L124)*M124)</f>
        <v/>
      </c>
      <c r="O124" s="20" t="str">
        <f aca="false">IF(J124="","",J124-L124-N124)</f>
        <v/>
      </c>
      <c r="P124" s="16"/>
      <c r="Q124" s="16"/>
      <c r="R124" s="16"/>
      <c r="S124" s="16"/>
      <c r="T124" s="14" t="str">
        <f aca="false">IF(F124="","",MONTH(F124))</f>
        <v/>
      </c>
      <c r="U124" s="14" t="str">
        <f aca="false">IF(F124="","",YEAR(F124))</f>
        <v/>
      </c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7"/>
      <c r="G125" s="17"/>
      <c r="H125" s="18" t="str">
        <f aca="false">IF(OR(F125="",G125=""),"",G125-F125)</f>
        <v/>
      </c>
      <c r="I125" s="19"/>
      <c r="J125" s="20" t="str">
        <f aca="false">IF(OR(H125="",I125=""),"",H125*I125)</f>
        <v/>
      </c>
      <c r="K125" s="21" t="str">
        <f aca="false">IF(C125="","",IFERROR(INDEX(Paramètres!$E$9:$E$11,MATCH(C125,Paramètres!$D$9:$D$11,0)),0))</f>
        <v/>
      </c>
      <c r="L125" s="20" t="str">
        <f aca="false">IF(J125="","",J125*K125)</f>
        <v/>
      </c>
      <c r="M125" s="21" t="str">
        <f aca="false">IF(B125="","",IFERROR(INDEX(Propriétaires!$E$4:$E$13,MATCH(B125,Propriétaires!$A$4:$A$13,0)),0.2))</f>
        <v/>
      </c>
      <c r="N125" s="20" t="str">
        <f aca="false">IF(J125="","",(J125-L125)*M125)</f>
        <v/>
      </c>
      <c r="O125" s="20" t="str">
        <f aca="false">IF(J125="","",J125-L125-N125)</f>
        <v/>
      </c>
      <c r="P125" s="16"/>
      <c r="Q125" s="16"/>
      <c r="R125" s="16"/>
      <c r="S125" s="16"/>
      <c r="T125" s="14" t="str">
        <f aca="false">IF(F125="","",MONTH(F125))</f>
        <v/>
      </c>
      <c r="U125" s="14" t="str">
        <f aca="false">IF(F125="","",YEAR(F125))</f>
        <v/>
      </c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7"/>
      <c r="G126" s="17"/>
      <c r="H126" s="18" t="str">
        <f aca="false">IF(OR(F126="",G126=""),"",G126-F126)</f>
        <v/>
      </c>
      <c r="I126" s="19"/>
      <c r="J126" s="20" t="str">
        <f aca="false">IF(OR(H126="",I126=""),"",H126*I126)</f>
        <v/>
      </c>
      <c r="K126" s="21" t="str">
        <f aca="false">IF(C126="","",IFERROR(INDEX(Paramètres!$E$9:$E$11,MATCH(C126,Paramètres!$D$9:$D$11,0)),0))</f>
        <v/>
      </c>
      <c r="L126" s="20" t="str">
        <f aca="false">IF(J126="","",J126*K126)</f>
        <v/>
      </c>
      <c r="M126" s="21" t="str">
        <f aca="false">IF(B126="","",IFERROR(INDEX(Propriétaires!$E$4:$E$13,MATCH(B126,Propriétaires!$A$4:$A$13,0)),0.2))</f>
        <v/>
      </c>
      <c r="N126" s="20" t="str">
        <f aca="false">IF(J126="","",(J126-L126)*M126)</f>
        <v/>
      </c>
      <c r="O126" s="20" t="str">
        <f aca="false">IF(J126="","",J126-L126-N126)</f>
        <v/>
      </c>
      <c r="P126" s="16"/>
      <c r="Q126" s="16"/>
      <c r="R126" s="16"/>
      <c r="S126" s="16"/>
      <c r="T126" s="14" t="str">
        <f aca="false">IF(F126="","",MONTH(F126))</f>
        <v/>
      </c>
      <c r="U126" s="14" t="str">
        <f aca="false">IF(F126="","",YEAR(F126))</f>
        <v/>
      </c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7"/>
      <c r="G127" s="17"/>
      <c r="H127" s="18" t="str">
        <f aca="false">IF(OR(F127="",G127=""),"",G127-F127)</f>
        <v/>
      </c>
      <c r="I127" s="19"/>
      <c r="J127" s="20" t="str">
        <f aca="false">IF(OR(H127="",I127=""),"",H127*I127)</f>
        <v/>
      </c>
      <c r="K127" s="21" t="str">
        <f aca="false">IF(C127="","",IFERROR(INDEX(Paramètres!$E$9:$E$11,MATCH(C127,Paramètres!$D$9:$D$11,0)),0))</f>
        <v/>
      </c>
      <c r="L127" s="20" t="str">
        <f aca="false">IF(J127="","",J127*K127)</f>
        <v/>
      </c>
      <c r="M127" s="21" t="str">
        <f aca="false">IF(B127="","",IFERROR(INDEX(Propriétaires!$E$4:$E$13,MATCH(B127,Propriétaires!$A$4:$A$13,0)),0.2))</f>
        <v/>
      </c>
      <c r="N127" s="20" t="str">
        <f aca="false">IF(J127="","",(J127-L127)*M127)</f>
        <v/>
      </c>
      <c r="O127" s="20" t="str">
        <f aca="false">IF(J127="","",J127-L127-N127)</f>
        <v/>
      </c>
      <c r="P127" s="16"/>
      <c r="Q127" s="16"/>
      <c r="R127" s="16"/>
      <c r="S127" s="16"/>
      <c r="T127" s="14" t="str">
        <f aca="false">IF(F127="","",MONTH(F127))</f>
        <v/>
      </c>
      <c r="U127" s="14" t="str">
        <f aca="false">IF(F127="","",YEAR(F127))</f>
        <v/>
      </c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7"/>
      <c r="G128" s="17"/>
      <c r="H128" s="18" t="str">
        <f aca="false">IF(OR(F128="",G128=""),"",G128-F128)</f>
        <v/>
      </c>
      <c r="I128" s="19"/>
      <c r="J128" s="20" t="str">
        <f aca="false">IF(OR(H128="",I128=""),"",H128*I128)</f>
        <v/>
      </c>
      <c r="K128" s="21" t="str">
        <f aca="false">IF(C128="","",IFERROR(INDEX(Paramètres!$E$9:$E$11,MATCH(C128,Paramètres!$D$9:$D$11,0)),0))</f>
        <v/>
      </c>
      <c r="L128" s="20" t="str">
        <f aca="false">IF(J128="","",J128*K128)</f>
        <v/>
      </c>
      <c r="M128" s="21" t="str">
        <f aca="false">IF(B128="","",IFERROR(INDEX(Propriétaires!$E$4:$E$13,MATCH(B128,Propriétaires!$A$4:$A$13,0)),0.2))</f>
        <v/>
      </c>
      <c r="N128" s="20" t="str">
        <f aca="false">IF(J128="","",(J128-L128)*M128)</f>
        <v/>
      </c>
      <c r="O128" s="20" t="str">
        <f aca="false">IF(J128="","",J128-L128-N128)</f>
        <v/>
      </c>
      <c r="P128" s="16"/>
      <c r="Q128" s="16"/>
      <c r="R128" s="16"/>
      <c r="S128" s="16"/>
      <c r="T128" s="14" t="str">
        <f aca="false">IF(F128="","",MONTH(F128))</f>
        <v/>
      </c>
      <c r="U128" s="14" t="str">
        <f aca="false">IF(F128="","",YEAR(F128))</f>
        <v/>
      </c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7"/>
      <c r="G129" s="17"/>
      <c r="H129" s="18" t="str">
        <f aca="false">IF(OR(F129="",G129=""),"",G129-F129)</f>
        <v/>
      </c>
      <c r="I129" s="19"/>
      <c r="J129" s="20" t="str">
        <f aca="false">IF(OR(H129="",I129=""),"",H129*I129)</f>
        <v/>
      </c>
      <c r="K129" s="21" t="str">
        <f aca="false">IF(C129="","",IFERROR(INDEX(Paramètres!$E$9:$E$11,MATCH(C129,Paramètres!$D$9:$D$11,0)),0))</f>
        <v/>
      </c>
      <c r="L129" s="20" t="str">
        <f aca="false">IF(J129="","",J129*K129)</f>
        <v/>
      </c>
      <c r="M129" s="21" t="str">
        <f aca="false">IF(B129="","",IFERROR(INDEX(Propriétaires!$E$4:$E$13,MATCH(B129,Propriétaires!$A$4:$A$13,0)),0.2))</f>
        <v/>
      </c>
      <c r="N129" s="20" t="str">
        <f aca="false">IF(J129="","",(J129-L129)*M129)</f>
        <v/>
      </c>
      <c r="O129" s="20" t="str">
        <f aca="false">IF(J129="","",J129-L129-N129)</f>
        <v/>
      </c>
      <c r="P129" s="16"/>
      <c r="Q129" s="16"/>
      <c r="R129" s="16"/>
      <c r="S129" s="16"/>
      <c r="T129" s="14" t="str">
        <f aca="false">IF(F129="","",MONTH(F129))</f>
        <v/>
      </c>
      <c r="U129" s="14" t="str">
        <f aca="false">IF(F129="","",YEAR(F129))</f>
        <v/>
      </c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7"/>
      <c r="G130" s="17"/>
      <c r="H130" s="18" t="str">
        <f aca="false">IF(OR(F130="",G130=""),"",G130-F130)</f>
        <v/>
      </c>
      <c r="I130" s="19"/>
      <c r="J130" s="20" t="str">
        <f aca="false">IF(OR(H130="",I130=""),"",H130*I130)</f>
        <v/>
      </c>
      <c r="K130" s="21" t="str">
        <f aca="false">IF(C130="","",IFERROR(INDEX(Paramètres!$E$9:$E$11,MATCH(C130,Paramètres!$D$9:$D$11,0)),0))</f>
        <v/>
      </c>
      <c r="L130" s="20" t="str">
        <f aca="false">IF(J130="","",J130*K130)</f>
        <v/>
      </c>
      <c r="M130" s="21" t="str">
        <f aca="false">IF(B130="","",IFERROR(INDEX(Propriétaires!$E$4:$E$13,MATCH(B130,Propriétaires!$A$4:$A$13,0)),0.2))</f>
        <v/>
      </c>
      <c r="N130" s="20" t="str">
        <f aca="false">IF(J130="","",(J130-L130)*M130)</f>
        <v/>
      </c>
      <c r="O130" s="20" t="str">
        <f aca="false">IF(J130="","",J130-L130-N130)</f>
        <v/>
      </c>
      <c r="P130" s="16"/>
      <c r="Q130" s="16"/>
      <c r="R130" s="16"/>
      <c r="S130" s="16"/>
      <c r="T130" s="14" t="str">
        <f aca="false">IF(F130="","",MONTH(F130))</f>
        <v/>
      </c>
      <c r="U130" s="14" t="str">
        <f aca="false">IF(F130="","",YEAR(F130))</f>
        <v/>
      </c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7"/>
      <c r="G131" s="17"/>
      <c r="H131" s="18" t="str">
        <f aca="false">IF(OR(F131="",G131=""),"",G131-F131)</f>
        <v/>
      </c>
      <c r="I131" s="19"/>
      <c r="J131" s="20" t="str">
        <f aca="false">IF(OR(H131="",I131=""),"",H131*I131)</f>
        <v/>
      </c>
      <c r="K131" s="21" t="str">
        <f aca="false">IF(C131="","",IFERROR(INDEX(Paramètres!$E$9:$E$11,MATCH(C131,Paramètres!$D$9:$D$11,0)),0))</f>
        <v/>
      </c>
      <c r="L131" s="20" t="str">
        <f aca="false">IF(J131="","",J131*K131)</f>
        <v/>
      </c>
      <c r="M131" s="21" t="str">
        <f aca="false">IF(B131="","",IFERROR(INDEX(Propriétaires!$E$4:$E$13,MATCH(B131,Propriétaires!$A$4:$A$13,0)),0.2))</f>
        <v/>
      </c>
      <c r="N131" s="20" t="str">
        <f aca="false">IF(J131="","",(J131-L131)*M131)</f>
        <v/>
      </c>
      <c r="O131" s="20" t="str">
        <f aca="false">IF(J131="","",J131-L131-N131)</f>
        <v/>
      </c>
      <c r="P131" s="16"/>
      <c r="Q131" s="16"/>
      <c r="R131" s="16"/>
      <c r="S131" s="16"/>
      <c r="T131" s="14" t="str">
        <f aca="false">IF(F131="","",MONTH(F131))</f>
        <v/>
      </c>
      <c r="U131" s="14" t="str">
        <f aca="false">IF(F131="","",YEAR(F131))</f>
        <v/>
      </c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7"/>
      <c r="G132" s="17"/>
      <c r="H132" s="18" t="str">
        <f aca="false">IF(OR(F132="",G132=""),"",G132-F132)</f>
        <v/>
      </c>
      <c r="I132" s="19"/>
      <c r="J132" s="20" t="str">
        <f aca="false">IF(OR(H132="",I132=""),"",H132*I132)</f>
        <v/>
      </c>
      <c r="K132" s="21" t="str">
        <f aca="false">IF(C132="","",IFERROR(INDEX(Paramètres!$E$9:$E$11,MATCH(C132,Paramètres!$D$9:$D$11,0)),0))</f>
        <v/>
      </c>
      <c r="L132" s="20" t="str">
        <f aca="false">IF(J132="","",J132*K132)</f>
        <v/>
      </c>
      <c r="M132" s="21" t="str">
        <f aca="false">IF(B132="","",IFERROR(INDEX(Propriétaires!$E$4:$E$13,MATCH(B132,Propriétaires!$A$4:$A$13,0)),0.2))</f>
        <v/>
      </c>
      <c r="N132" s="20" t="str">
        <f aca="false">IF(J132="","",(J132-L132)*M132)</f>
        <v/>
      </c>
      <c r="O132" s="20" t="str">
        <f aca="false">IF(J132="","",J132-L132-N132)</f>
        <v/>
      </c>
      <c r="P132" s="16"/>
      <c r="Q132" s="16"/>
      <c r="R132" s="16"/>
      <c r="S132" s="16"/>
      <c r="T132" s="14" t="str">
        <f aca="false">IF(F132="","",MONTH(F132))</f>
        <v/>
      </c>
      <c r="U132" s="14" t="str">
        <f aca="false">IF(F132="","",YEAR(F132))</f>
        <v/>
      </c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7"/>
      <c r="G133" s="17"/>
      <c r="H133" s="18" t="str">
        <f aca="false">IF(OR(F133="",G133=""),"",G133-F133)</f>
        <v/>
      </c>
      <c r="I133" s="19"/>
      <c r="J133" s="20" t="str">
        <f aca="false">IF(OR(H133="",I133=""),"",H133*I133)</f>
        <v/>
      </c>
      <c r="K133" s="21" t="str">
        <f aca="false">IF(C133="","",IFERROR(INDEX(Paramètres!$E$9:$E$11,MATCH(C133,Paramètres!$D$9:$D$11,0)),0))</f>
        <v/>
      </c>
      <c r="L133" s="20" t="str">
        <f aca="false">IF(J133="","",J133*K133)</f>
        <v/>
      </c>
      <c r="M133" s="21" t="str">
        <f aca="false">IF(B133="","",IFERROR(INDEX(Propriétaires!$E$4:$E$13,MATCH(B133,Propriétaires!$A$4:$A$13,0)),0.2))</f>
        <v/>
      </c>
      <c r="N133" s="20" t="str">
        <f aca="false">IF(J133="","",(J133-L133)*M133)</f>
        <v/>
      </c>
      <c r="O133" s="20" t="str">
        <f aca="false">IF(J133="","",J133-L133-N133)</f>
        <v/>
      </c>
      <c r="P133" s="16"/>
      <c r="Q133" s="16"/>
      <c r="R133" s="16"/>
      <c r="S133" s="16"/>
      <c r="T133" s="14" t="str">
        <f aca="false">IF(F133="","",MONTH(F133))</f>
        <v/>
      </c>
      <c r="U133" s="14" t="str">
        <f aca="false">IF(F133="","",YEAR(F133))</f>
        <v/>
      </c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7"/>
      <c r="G134" s="17"/>
      <c r="H134" s="18" t="str">
        <f aca="false">IF(OR(F134="",G134=""),"",G134-F134)</f>
        <v/>
      </c>
      <c r="I134" s="19"/>
      <c r="J134" s="20" t="str">
        <f aca="false">IF(OR(H134="",I134=""),"",H134*I134)</f>
        <v/>
      </c>
      <c r="K134" s="21" t="str">
        <f aca="false">IF(C134="","",IFERROR(INDEX(Paramètres!$E$9:$E$11,MATCH(C134,Paramètres!$D$9:$D$11,0)),0))</f>
        <v/>
      </c>
      <c r="L134" s="20" t="str">
        <f aca="false">IF(J134="","",J134*K134)</f>
        <v/>
      </c>
      <c r="M134" s="21" t="str">
        <f aca="false">IF(B134="","",IFERROR(INDEX(Propriétaires!$E$4:$E$13,MATCH(B134,Propriétaires!$A$4:$A$13,0)),0.2))</f>
        <v/>
      </c>
      <c r="N134" s="20" t="str">
        <f aca="false">IF(J134="","",(J134-L134)*M134)</f>
        <v/>
      </c>
      <c r="O134" s="20" t="str">
        <f aca="false">IF(J134="","",J134-L134-N134)</f>
        <v/>
      </c>
      <c r="P134" s="16"/>
      <c r="Q134" s="16"/>
      <c r="R134" s="16"/>
      <c r="S134" s="16"/>
      <c r="T134" s="14" t="str">
        <f aca="false">IF(F134="","",MONTH(F134))</f>
        <v/>
      </c>
      <c r="U134" s="14" t="str">
        <f aca="false">IF(F134="","",YEAR(F134))</f>
        <v/>
      </c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7"/>
      <c r="G135" s="17"/>
      <c r="H135" s="18" t="str">
        <f aca="false">IF(OR(F135="",G135=""),"",G135-F135)</f>
        <v/>
      </c>
      <c r="I135" s="19"/>
      <c r="J135" s="20" t="str">
        <f aca="false">IF(OR(H135="",I135=""),"",H135*I135)</f>
        <v/>
      </c>
      <c r="K135" s="21" t="str">
        <f aca="false">IF(C135="","",IFERROR(INDEX(Paramètres!$E$9:$E$11,MATCH(C135,Paramètres!$D$9:$D$11,0)),0))</f>
        <v/>
      </c>
      <c r="L135" s="20" t="str">
        <f aca="false">IF(J135="","",J135*K135)</f>
        <v/>
      </c>
      <c r="M135" s="21" t="str">
        <f aca="false">IF(B135="","",IFERROR(INDEX(Propriétaires!$E$4:$E$13,MATCH(B135,Propriétaires!$A$4:$A$13,0)),0.2))</f>
        <v/>
      </c>
      <c r="N135" s="20" t="str">
        <f aca="false">IF(J135="","",(J135-L135)*M135)</f>
        <v/>
      </c>
      <c r="O135" s="20" t="str">
        <f aca="false">IF(J135="","",J135-L135-N135)</f>
        <v/>
      </c>
      <c r="P135" s="16"/>
      <c r="Q135" s="16"/>
      <c r="R135" s="16"/>
      <c r="S135" s="16"/>
      <c r="T135" s="14" t="str">
        <f aca="false">IF(F135="","",MONTH(F135))</f>
        <v/>
      </c>
      <c r="U135" s="14" t="str">
        <f aca="false">IF(F135="","",YEAR(F135))</f>
        <v/>
      </c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7"/>
      <c r="G136" s="17"/>
      <c r="H136" s="18" t="str">
        <f aca="false">IF(OR(F136="",G136=""),"",G136-F136)</f>
        <v/>
      </c>
      <c r="I136" s="19"/>
      <c r="J136" s="20" t="str">
        <f aca="false">IF(OR(H136="",I136=""),"",H136*I136)</f>
        <v/>
      </c>
      <c r="K136" s="21" t="str">
        <f aca="false">IF(C136="","",IFERROR(INDEX(Paramètres!$E$9:$E$11,MATCH(C136,Paramètres!$D$9:$D$11,0)),0))</f>
        <v/>
      </c>
      <c r="L136" s="20" t="str">
        <f aca="false">IF(J136="","",J136*K136)</f>
        <v/>
      </c>
      <c r="M136" s="21" t="str">
        <f aca="false">IF(B136="","",IFERROR(INDEX(Propriétaires!$E$4:$E$13,MATCH(B136,Propriétaires!$A$4:$A$13,0)),0.2))</f>
        <v/>
      </c>
      <c r="N136" s="20" t="str">
        <f aca="false">IF(J136="","",(J136-L136)*M136)</f>
        <v/>
      </c>
      <c r="O136" s="20" t="str">
        <f aca="false">IF(J136="","",J136-L136-N136)</f>
        <v/>
      </c>
      <c r="P136" s="16"/>
      <c r="Q136" s="16"/>
      <c r="R136" s="16"/>
      <c r="S136" s="16"/>
      <c r="T136" s="14" t="str">
        <f aca="false">IF(F136="","",MONTH(F136))</f>
        <v/>
      </c>
      <c r="U136" s="14" t="str">
        <f aca="false">IF(F136="","",YEAR(F136))</f>
        <v/>
      </c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7"/>
      <c r="G137" s="17"/>
      <c r="H137" s="18" t="str">
        <f aca="false">IF(OR(F137="",G137=""),"",G137-F137)</f>
        <v/>
      </c>
      <c r="I137" s="19"/>
      <c r="J137" s="20" t="str">
        <f aca="false">IF(OR(H137="",I137=""),"",H137*I137)</f>
        <v/>
      </c>
      <c r="K137" s="21" t="str">
        <f aca="false">IF(C137="","",IFERROR(INDEX(Paramètres!$E$9:$E$11,MATCH(C137,Paramètres!$D$9:$D$11,0)),0))</f>
        <v/>
      </c>
      <c r="L137" s="20" t="str">
        <f aca="false">IF(J137="","",J137*K137)</f>
        <v/>
      </c>
      <c r="M137" s="21" t="str">
        <f aca="false">IF(B137="","",IFERROR(INDEX(Propriétaires!$E$4:$E$13,MATCH(B137,Propriétaires!$A$4:$A$13,0)),0.2))</f>
        <v/>
      </c>
      <c r="N137" s="20" t="str">
        <f aca="false">IF(J137="","",(J137-L137)*M137)</f>
        <v/>
      </c>
      <c r="O137" s="20" t="str">
        <f aca="false">IF(J137="","",J137-L137-N137)</f>
        <v/>
      </c>
      <c r="P137" s="16"/>
      <c r="Q137" s="16"/>
      <c r="R137" s="16"/>
      <c r="S137" s="16"/>
      <c r="T137" s="14" t="str">
        <f aca="false">IF(F137="","",MONTH(F137))</f>
        <v/>
      </c>
      <c r="U137" s="14" t="str">
        <f aca="false">IF(F137="","",YEAR(F137))</f>
        <v/>
      </c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7"/>
      <c r="G138" s="17"/>
      <c r="H138" s="18" t="str">
        <f aca="false">IF(OR(F138="",G138=""),"",G138-F138)</f>
        <v/>
      </c>
      <c r="I138" s="19"/>
      <c r="J138" s="20" t="str">
        <f aca="false">IF(OR(H138="",I138=""),"",H138*I138)</f>
        <v/>
      </c>
      <c r="K138" s="21" t="str">
        <f aca="false">IF(C138="","",IFERROR(INDEX(Paramètres!$E$9:$E$11,MATCH(C138,Paramètres!$D$9:$D$11,0)),0))</f>
        <v/>
      </c>
      <c r="L138" s="20" t="str">
        <f aca="false">IF(J138="","",J138*K138)</f>
        <v/>
      </c>
      <c r="M138" s="21" t="str">
        <f aca="false">IF(B138="","",IFERROR(INDEX(Propriétaires!$E$4:$E$13,MATCH(B138,Propriétaires!$A$4:$A$13,0)),0.2))</f>
        <v/>
      </c>
      <c r="N138" s="20" t="str">
        <f aca="false">IF(J138="","",(J138-L138)*M138)</f>
        <v/>
      </c>
      <c r="O138" s="20" t="str">
        <f aca="false">IF(J138="","",J138-L138-N138)</f>
        <v/>
      </c>
      <c r="P138" s="16"/>
      <c r="Q138" s="16"/>
      <c r="R138" s="16"/>
      <c r="S138" s="16"/>
      <c r="T138" s="14" t="str">
        <f aca="false">IF(F138="","",MONTH(F138))</f>
        <v/>
      </c>
      <c r="U138" s="14" t="str">
        <f aca="false">IF(F138="","",YEAR(F138))</f>
        <v/>
      </c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7"/>
      <c r="G139" s="17"/>
      <c r="H139" s="18" t="str">
        <f aca="false">IF(OR(F139="",G139=""),"",G139-F139)</f>
        <v/>
      </c>
      <c r="I139" s="19"/>
      <c r="J139" s="20" t="str">
        <f aca="false">IF(OR(H139="",I139=""),"",H139*I139)</f>
        <v/>
      </c>
      <c r="K139" s="21" t="str">
        <f aca="false">IF(C139="","",IFERROR(INDEX(Paramètres!$E$9:$E$11,MATCH(C139,Paramètres!$D$9:$D$11,0)),0))</f>
        <v/>
      </c>
      <c r="L139" s="20" t="str">
        <f aca="false">IF(J139="","",J139*K139)</f>
        <v/>
      </c>
      <c r="M139" s="21" t="str">
        <f aca="false">IF(B139="","",IFERROR(INDEX(Propriétaires!$E$4:$E$13,MATCH(B139,Propriétaires!$A$4:$A$13,0)),0.2))</f>
        <v/>
      </c>
      <c r="N139" s="20" t="str">
        <f aca="false">IF(J139="","",(J139-L139)*M139)</f>
        <v/>
      </c>
      <c r="O139" s="20" t="str">
        <f aca="false">IF(J139="","",J139-L139-N139)</f>
        <v/>
      </c>
      <c r="P139" s="16"/>
      <c r="Q139" s="16"/>
      <c r="R139" s="16"/>
      <c r="S139" s="16"/>
      <c r="T139" s="14" t="str">
        <f aca="false">IF(F139="","",MONTH(F139))</f>
        <v/>
      </c>
      <c r="U139" s="14" t="str">
        <f aca="false">IF(F139="","",YEAR(F139))</f>
        <v/>
      </c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7"/>
      <c r="G140" s="17"/>
      <c r="H140" s="18" t="str">
        <f aca="false">IF(OR(F140="",G140=""),"",G140-F140)</f>
        <v/>
      </c>
      <c r="I140" s="19"/>
      <c r="J140" s="20" t="str">
        <f aca="false">IF(OR(H140="",I140=""),"",H140*I140)</f>
        <v/>
      </c>
      <c r="K140" s="21" t="str">
        <f aca="false">IF(C140="","",IFERROR(INDEX(Paramètres!$E$9:$E$11,MATCH(C140,Paramètres!$D$9:$D$11,0)),0))</f>
        <v/>
      </c>
      <c r="L140" s="20" t="str">
        <f aca="false">IF(J140="","",J140*K140)</f>
        <v/>
      </c>
      <c r="M140" s="21" t="str">
        <f aca="false">IF(B140="","",IFERROR(INDEX(Propriétaires!$E$4:$E$13,MATCH(B140,Propriétaires!$A$4:$A$13,0)),0.2))</f>
        <v/>
      </c>
      <c r="N140" s="20" t="str">
        <f aca="false">IF(J140="","",(J140-L140)*M140)</f>
        <v/>
      </c>
      <c r="O140" s="20" t="str">
        <f aca="false">IF(J140="","",J140-L140-N140)</f>
        <v/>
      </c>
      <c r="P140" s="16"/>
      <c r="Q140" s="16"/>
      <c r="R140" s="16"/>
      <c r="S140" s="16"/>
      <c r="T140" s="14" t="str">
        <f aca="false">IF(F140="","",MONTH(F140))</f>
        <v/>
      </c>
      <c r="U140" s="14" t="str">
        <f aca="false">IF(F140="","",YEAR(F140))</f>
        <v/>
      </c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7"/>
      <c r="G141" s="17"/>
      <c r="H141" s="18" t="str">
        <f aca="false">IF(OR(F141="",G141=""),"",G141-F141)</f>
        <v/>
      </c>
      <c r="I141" s="19"/>
      <c r="J141" s="20" t="str">
        <f aca="false">IF(OR(H141="",I141=""),"",H141*I141)</f>
        <v/>
      </c>
      <c r="K141" s="21" t="str">
        <f aca="false">IF(C141="","",IFERROR(INDEX(Paramètres!$E$9:$E$11,MATCH(C141,Paramètres!$D$9:$D$11,0)),0))</f>
        <v/>
      </c>
      <c r="L141" s="20" t="str">
        <f aca="false">IF(J141="","",J141*K141)</f>
        <v/>
      </c>
      <c r="M141" s="21" t="str">
        <f aca="false">IF(B141="","",IFERROR(INDEX(Propriétaires!$E$4:$E$13,MATCH(B141,Propriétaires!$A$4:$A$13,0)),0.2))</f>
        <v/>
      </c>
      <c r="N141" s="20" t="str">
        <f aca="false">IF(J141="","",(J141-L141)*M141)</f>
        <v/>
      </c>
      <c r="O141" s="20" t="str">
        <f aca="false">IF(J141="","",J141-L141-N141)</f>
        <v/>
      </c>
      <c r="P141" s="16"/>
      <c r="Q141" s="16"/>
      <c r="R141" s="16"/>
      <c r="S141" s="16"/>
      <c r="T141" s="14" t="str">
        <f aca="false">IF(F141="","",MONTH(F141))</f>
        <v/>
      </c>
      <c r="U141" s="14" t="str">
        <f aca="false">IF(F141="","",YEAR(F141))</f>
        <v/>
      </c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7"/>
      <c r="G142" s="17"/>
      <c r="H142" s="18" t="str">
        <f aca="false">IF(OR(F142="",G142=""),"",G142-F142)</f>
        <v/>
      </c>
      <c r="I142" s="19"/>
      <c r="J142" s="20" t="str">
        <f aca="false">IF(OR(H142="",I142=""),"",H142*I142)</f>
        <v/>
      </c>
      <c r="K142" s="21" t="str">
        <f aca="false">IF(C142="","",IFERROR(INDEX(Paramètres!$E$9:$E$11,MATCH(C142,Paramètres!$D$9:$D$11,0)),0))</f>
        <v/>
      </c>
      <c r="L142" s="20" t="str">
        <f aca="false">IF(J142="","",J142*K142)</f>
        <v/>
      </c>
      <c r="M142" s="21" t="str">
        <f aca="false">IF(B142="","",IFERROR(INDEX(Propriétaires!$E$4:$E$13,MATCH(B142,Propriétaires!$A$4:$A$13,0)),0.2))</f>
        <v/>
      </c>
      <c r="N142" s="20" t="str">
        <f aca="false">IF(J142="","",(J142-L142)*M142)</f>
        <v/>
      </c>
      <c r="O142" s="20" t="str">
        <f aca="false">IF(J142="","",J142-L142-N142)</f>
        <v/>
      </c>
      <c r="P142" s="16"/>
      <c r="Q142" s="16"/>
      <c r="R142" s="16"/>
      <c r="S142" s="16"/>
      <c r="T142" s="14" t="str">
        <f aca="false">IF(F142="","",MONTH(F142))</f>
        <v/>
      </c>
      <c r="U142" s="14" t="str">
        <f aca="false">IF(F142="","",YEAR(F142))</f>
        <v/>
      </c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7"/>
      <c r="G143" s="17"/>
      <c r="H143" s="18" t="str">
        <f aca="false">IF(OR(F143="",G143=""),"",G143-F143)</f>
        <v/>
      </c>
      <c r="I143" s="19"/>
      <c r="J143" s="20" t="str">
        <f aca="false">IF(OR(H143="",I143=""),"",H143*I143)</f>
        <v/>
      </c>
      <c r="K143" s="21" t="str">
        <f aca="false">IF(C143="","",IFERROR(INDEX(Paramètres!$E$9:$E$11,MATCH(C143,Paramètres!$D$9:$D$11,0)),0))</f>
        <v/>
      </c>
      <c r="L143" s="20" t="str">
        <f aca="false">IF(J143="","",J143*K143)</f>
        <v/>
      </c>
      <c r="M143" s="21" t="str">
        <f aca="false">IF(B143="","",IFERROR(INDEX(Propriétaires!$E$4:$E$13,MATCH(B143,Propriétaires!$A$4:$A$13,0)),0.2))</f>
        <v/>
      </c>
      <c r="N143" s="20" t="str">
        <f aca="false">IF(J143="","",(J143-L143)*M143)</f>
        <v/>
      </c>
      <c r="O143" s="20" t="str">
        <f aca="false">IF(J143="","",J143-L143-N143)</f>
        <v/>
      </c>
      <c r="P143" s="16"/>
      <c r="Q143" s="16"/>
      <c r="R143" s="16"/>
      <c r="S143" s="16"/>
      <c r="T143" s="14" t="str">
        <f aca="false">IF(F143="","",MONTH(F143))</f>
        <v/>
      </c>
      <c r="U143" s="14" t="str">
        <f aca="false">IF(F143="","",YEAR(F143))</f>
        <v/>
      </c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7"/>
      <c r="G144" s="17"/>
      <c r="H144" s="18" t="str">
        <f aca="false">IF(OR(F144="",G144=""),"",G144-F144)</f>
        <v/>
      </c>
      <c r="I144" s="19"/>
      <c r="J144" s="20" t="str">
        <f aca="false">IF(OR(H144="",I144=""),"",H144*I144)</f>
        <v/>
      </c>
      <c r="K144" s="21" t="str">
        <f aca="false">IF(C144="","",IFERROR(INDEX(Paramètres!$E$9:$E$11,MATCH(C144,Paramètres!$D$9:$D$11,0)),0))</f>
        <v/>
      </c>
      <c r="L144" s="20" t="str">
        <f aca="false">IF(J144="","",J144*K144)</f>
        <v/>
      </c>
      <c r="M144" s="21" t="str">
        <f aca="false">IF(B144="","",IFERROR(INDEX(Propriétaires!$E$4:$E$13,MATCH(B144,Propriétaires!$A$4:$A$13,0)),0.2))</f>
        <v/>
      </c>
      <c r="N144" s="20" t="str">
        <f aca="false">IF(J144="","",(J144-L144)*M144)</f>
        <v/>
      </c>
      <c r="O144" s="20" t="str">
        <f aca="false">IF(J144="","",J144-L144-N144)</f>
        <v/>
      </c>
      <c r="P144" s="16"/>
      <c r="Q144" s="16"/>
      <c r="R144" s="16"/>
      <c r="S144" s="16"/>
      <c r="T144" s="14" t="str">
        <f aca="false">IF(F144="","",MONTH(F144))</f>
        <v/>
      </c>
      <c r="U144" s="14" t="str">
        <f aca="false">IF(F144="","",YEAR(F144))</f>
        <v/>
      </c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7"/>
      <c r="G145" s="17"/>
      <c r="H145" s="18" t="str">
        <f aca="false">IF(OR(F145="",G145=""),"",G145-F145)</f>
        <v/>
      </c>
      <c r="I145" s="19"/>
      <c r="J145" s="20" t="str">
        <f aca="false">IF(OR(H145="",I145=""),"",H145*I145)</f>
        <v/>
      </c>
      <c r="K145" s="21" t="str">
        <f aca="false">IF(C145="","",IFERROR(INDEX(Paramètres!$E$9:$E$11,MATCH(C145,Paramètres!$D$9:$D$11,0)),0))</f>
        <v/>
      </c>
      <c r="L145" s="20" t="str">
        <f aca="false">IF(J145="","",J145*K145)</f>
        <v/>
      </c>
      <c r="M145" s="21" t="str">
        <f aca="false">IF(B145="","",IFERROR(INDEX(Propriétaires!$E$4:$E$13,MATCH(B145,Propriétaires!$A$4:$A$13,0)),0.2))</f>
        <v/>
      </c>
      <c r="N145" s="20" t="str">
        <f aca="false">IF(J145="","",(J145-L145)*M145)</f>
        <v/>
      </c>
      <c r="O145" s="20" t="str">
        <f aca="false">IF(J145="","",J145-L145-N145)</f>
        <v/>
      </c>
      <c r="P145" s="16"/>
      <c r="Q145" s="16"/>
      <c r="R145" s="16"/>
      <c r="S145" s="16"/>
      <c r="T145" s="14" t="str">
        <f aca="false">IF(F145="","",MONTH(F145))</f>
        <v/>
      </c>
      <c r="U145" s="14" t="str">
        <f aca="false">IF(F145="","",YEAR(F145))</f>
        <v/>
      </c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7"/>
      <c r="G146" s="17"/>
      <c r="H146" s="18" t="str">
        <f aca="false">IF(OR(F146="",G146=""),"",G146-F146)</f>
        <v/>
      </c>
      <c r="I146" s="19"/>
      <c r="J146" s="20" t="str">
        <f aca="false">IF(OR(H146="",I146=""),"",H146*I146)</f>
        <v/>
      </c>
      <c r="K146" s="21" t="str">
        <f aca="false">IF(C146="","",IFERROR(INDEX(Paramètres!$E$9:$E$11,MATCH(C146,Paramètres!$D$9:$D$11,0)),0))</f>
        <v/>
      </c>
      <c r="L146" s="20" t="str">
        <f aca="false">IF(J146="","",J146*K146)</f>
        <v/>
      </c>
      <c r="M146" s="21" t="str">
        <f aca="false">IF(B146="","",IFERROR(INDEX(Propriétaires!$E$4:$E$13,MATCH(B146,Propriétaires!$A$4:$A$13,0)),0.2))</f>
        <v/>
      </c>
      <c r="N146" s="20" t="str">
        <f aca="false">IF(J146="","",(J146-L146)*M146)</f>
        <v/>
      </c>
      <c r="O146" s="20" t="str">
        <f aca="false">IF(J146="","",J146-L146-N146)</f>
        <v/>
      </c>
      <c r="P146" s="16"/>
      <c r="Q146" s="16"/>
      <c r="R146" s="16"/>
      <c r="S146" s="16"/>
      <c r="T146" s="14" t="str">
        <f aca="false">IF(F146="","",MONTH(F146))</f>
        <v/>
      </c>
      <c r="U146" s="14" t="str">
        <f aca="false">IF(F146="","",YEAR(F146))</f>
        <v/>
      </c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7"/>
      <c r="G147" s="17"/>
      <c r="H147" s="18" t="str">
        <f aca="false">IF(OR(F147="",G147=""),"",G147-F147)</f>
        <v/>
      </c>
      <c r="I147" s="19"/>
      <c r="J147" s="20" t="str">
        <f aca="false">IF(OR(H147="",I147=""),"",H147*I147)</f>
        <v/>
      </c>
      <c r="K147" s="21" t="str">
        <f aca="false">IF(C147="","",IFERROR(INDEX(Paramètres!$E$9:$E$11,MATCH(C147,Paramètres!$D$9:$D$11,0)),0))</f>
        <v/>
      </c>
      <c r="L147" s="20" t="str">
        <f aca="false">IF(J147="","",J147*K147)</f>
        <v/>
      </c>
      <c r="M147" s="21" t="str">
        <f aca="false">IF(B147="","",IFERROR(INDEX(Propriétaires!$E$4:$E$13,MATCH(B147,Propriétaires!$A$4:$A$13,0)),0.2))</f>
        <v/>
      </c>
      <c r="N147" s="20" t="str">
        <f aca="false">IF(J147="","",(J147-L147)*M147)</f>
        <v/>
      </c>
      <c r="O147" s="20" t="str">
        <f aca="false">IF(J147="","",J147-L147-N147)</f>
        <v/>
      </c>
      <c r="P147" s="16"/>
      <c r="Q147" s="16"/>
      <c r="R147" s="16"/>
      <c r="S147" s="16"/>
      <c r="T147" s="14" t="str">
        <f aca="false">IF(F147="","",MONTH(F147))</f>
        <v/>
      </c>
      <c r="U147" s="14" t="str">
        <f aca="false">IF(F147="","",YEAR(F147))</f>
        <v/>
      </c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7"/>
      <c r="G148" s="17"/>
      <c r="H148" s="18" t="str">
        <f aca="false">IF(OR(F148="",G148=""),"",G148-F148)</f>
        <v/>
      </c>
      <c r="I148" s="19"/>
      <c r="J148" s="20" t="str">
        <f aca="false">IF(OR(H148="",I148=""),"",H148*I148)</f>
        <v/>
      </c>
      <c r="K148" s="21" t="str">
        <f aca="false">IF(C148="","",IFERROR(INDEX(Paramètres!$E$9:$E$11,MATCH(C148,Paramètres!$D$9:$D$11,0)),0))</f>
        <v/>
      </c>
      <c r="L148" s="20" t="str">
        <f aca="false">IF(J148="","",J148*K148)</f>
        <v/>
      </c>
      <c r="M148" s="21" t="str">
        <f aca="false">IF(B148="","",IFERROR(INDEX(Propriétaires!$E$4:$E$13,MATCH(B148,Propriétaires!$A$4:$A$13,0)),0.2))</f>
        <v/>
      </c>
      <c r="N148" s="20" t="str">
        <f aca="false">IF(J148="","",(J148-L148)*M148)</f>
        <v/>
      </c>
      <c r="O148" s="20" t="str">
        <f aca="false">IF(J148="","",J148-L148-N148)</f>
        <v/>
      </c>
      <c r="P148" s="16"/>
      <c r="Q148" s="16"/>
      <c r="R148" s="16"/>
      <c r="S148" s="16"/>
      <c r="T148" s="14" t="str">
        <f aca="false">IF(F148="","",MONTH(F148))</f>
        <v/>
      </c>
      <c r="U148" s="14" t="str">
        <f aca="false">IF(F148="","",YEAR(F148))</f>
        <v/>
      </c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7"/>
      <c r="G149" s="17"/>
      <c r="H149" s="18" t="str">
        <f aca="false">IF(OR(F149="",G149=""),"",G149-F149)</f>
        <v/>
      </c>
      <c r="I149" s="19"/>
      <c r="J149" s="20" t="str">
        <f aca="false">IF(OR(H149="",I149=""),"",H149*I149)</f>
        <v/>
      </c>
      <c r="K149" s="21" t="str">
        <f aca="false">IF(C149="","",IFERROR(INDEX(Paramètres!$E$9:$E$11,MATCH(C149,Paramètres!$D$9:$D$11,0)),0))</f>
        <v/>
      </c>
      <c r="L149" s="20" t="str">
        <f aca="false">IF(J149="","",J149*K149)</f>
        <v/>
      </c>
      <c r="M149" s="21" t="str">
        <f aca="false">IF(B149="","",IFERROR(INDEX(Propriétaires!$E$4:$E$13,MATCH(B149,Propriétaires!$A$4:$A$13,0)),0.2))</f>
        <v/>
      </c>
      <c r="N149" s="20" t="str">
        <f aca="false">IF(J149="","",(J149-L149)*M149)</f>
        <v/>
      </c>
      <c r="O149" s="20" t="str">
        <f aca="false">IF(J149="","",J149-L149-N149)</f>
        <v/>
      </c>
      <c r="P149" s="16"/>
      <c r="Q149" s="16"/>
      <c r="R149" s="16"/>
      <c r="S149" s="16"/>
      <c r="T149" s="14" t="str">
        <f aca="false">IF(F149="","",MONTH(F149))</f>
        <v/>
      </c>
      <c r="U149" s="14" t="str">
        <f aca="false">IF(F149="","",YEAR(F149))</f>
        <v/>
      </c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7"/>
      <c r="G150" s="17"/>
      <c r="H150" s="18" t="str">
        <f aca="false">IF(OR(F150="",G150=""),"",G150-F150)</f>
        <v/>
      </c>
      <c r="I150" s="19"/>
      <c r="J150" s="20" t="str">
        <f aca="false">IF(OR(H150="",I150=""),"",H150*I150)</f>
        <v/>
      </c>
      <c r="K150" s="21" t="str">
        <f aca="false">IF(C150="","",IFERROR(INDEX(Paramètres!$E$9:$E$11,MATCH(C150,Paramètres!$D$9:$D$11,0)),0))</f>
        <v/>
      </c>
      <c r="L150" s="20" t="str">
        <f aca="false">IF(J150="","",J150*K150)</f>
        <v/>
      </c>
      <c r="M150" s="21" t="str">
        <f aca="false">IF(B150="","",IFERROR(INDEX(Propriétaires!$E$4:$E$13,MATCH(B150,Propriétaires!$A$4:$A$13,0)),0.2))</f>
        <v/>
      </c>
      <c r="N150" s="20" t="str">
        <f aca="false">IF(J150="","",(J150-L150)*M150)</f>
        <v/>
      </c>
      <c r="O150" s="20" t="str">
        <f aca="false">IF(J150="","",J150-L150-N150)</f>
        <v/>
      </c>
      <c r="P150" s="16"/>
      <c r="Q150" s="16"/>
      <c r="R150" s="16"/>
      <c r="S150" s="16"/>
      <c r="T150" s="14" t="str">
        <f aca="false">IF(F150="","",MONTH(F150))</f>
        <v/>
      </c>
      <c r="U150" s="14" t="str">
        <f aca="false">IF(F150="","",YEAR(F150))</f>
        <v/>
      </c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7"/>
      <c r="G151" s="17"/>
      <c r="H151" s="18" t="str">
        <f aca="false">IF(OR(F151="",G151=""),"",G151-F151)</f>
        <v/>
      </c>
      <c r="I151" s="19"/>
      <c r="J151" s="20" t="str">
        <f aca="false">IF(OR(H151="",I151=""),"",H151*I151)</f>
        <v/>
      </c>
      <c r="K151" s="21" t="str">
        <f aca="false">IF(C151="","",IFERROR(INDEX(Paramètres!$E$9:$E$11,MATCH(C151,Paramètres!$D$9:$D$11,0)),0))</f>
        <v/>
      </c>
      <c r="L151" s="20" t="str">
        <f aca="false">IF(J151="","",J151*K151)</f>
        <v/>
      </c>
      <c r="M151" s="21" t="str">
        <f aca="false">IF(B151="","",IFERROR(INDEX(Propriétaires!$E$4:$E$13,MATCH(B151,Propriétaires!$A$4:$A$13,0)),0.2))</f>
        <v/>
      </c>
      <c r="N151" s="20" t="str">
        <f aca="false">IF(J151="","",(J151-L151)*M151)</f>
        <v/>
      </c>
      <c r="O151" s="20" t="str">
        <f aca="false">IF(J151="","",J151-L151-N151)</f>
        <v/>
      </c>
      <c r="P151" s="16"/>
      <c r="Q151" s="16"/>
      <c r="R151" s="16"/>
      <c r="S151" s="16"/>
      <c r="T151" s="14" t="str">
        <f aca="false">IF(F151="","",MONTH(F151))</f>
        <v/>
      </c>
      <c r="U151" s="14" t="str">
        <f aca="false">IF(F151="","",YEAR(F151))</f>
        <v/>
      </c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7"/>
      <c r="G152" s="17"/>
      <c r="H152" s="18" t="str">
        <f aca="false">IF(OR(F152="",G152=""),"",G152-F152)</f>
        <v/>
      </c>
      <c r="I152" s="19"/>
      <c r="J152" s="20" t="str">
        <f aca="false">IF(OR(H152="",I152=""),"",H152*I152)</f>
        <v/>
      </c>
      <c r="K152" s="21" t="str">
        <f aca="false">IF(C152="","",IFERROR(INDEX(Paramètres!$E$9:$E$11,MATCH(C152,Paramètres!$D$9:$D$11,0)),0))</f>
        <v/>
      </c>
      <c r="L152" s="20" t="str">
        <f aca="false">IF(J152="","",J152*K152)</f>
        <v/>
      </c>
      <c r="M152" s="21" t="str">
        <f aca="false">IF(B152="","",IFERROR(INDEX(Propriétaires!$E$4:$E$13,MATCH(B152,Propriétaires!$A$4:$A$13,0)),0.2))</f>
        <v/>
      </c>
      <c r="N152" s="20" t="str">
        <f aca="false">IF(J152="","",(J152-L152)*M152)</f>
        <v/>
      </c>
      <c r="O152" s="20" t="str">
        <f aca="false">IF(J152="","",J152-L152-N152)</f>
        <v/>
      </c>
      <c r="P152" s="16"/>
      <c r="Q152" s="16"/>
      <c r="R152" s="16"/>
      <c r="S152" s="16"/>
      <c r="T152" s="14" t="str">
        <f aca="false">IF(F152="","",MONTH(F152))</f>
        <v/>
      </c>
      <c r="U152" s="14" t="str">
        <f aca="false">IF(F152="","",YEAR(F152))</f>
        <v/>
      </c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7"/>
      <c r="G153" s="17"/>
      <c r="H153" s="18" t="str">
        <f aca="false">IF(OR(F153="",G153=""),"",G153-F153)</f>
        <v/>
      </c>
      <c r="I153" s="19"/>
      <c r="J153" s="20" t="str">
        <f aca="false">IF(OR(H153="",I153=""),"",H153*I153)</f>
        <v/>
      </c>
      <c r="K153" s="21" t="str">
        <f aca="false">IF(C153="","",IFERROR(INDEX(Paramètres!$E$9:$E$11,MATCH(C153,Paramètres!$D$9:$D$11,0)),0))</f>
        <v/>
      </c>
      <c r="L153" s="20" t="str">
        <f aca="false">IF(J153="","",J153*K153)</f>
        <v/>
      </c>
      <c r="M153" s="21" t="str">
        <f aca="false">IF(B153="","",IFERROR(INDEX(Propriétaires!$E$4:$E$13,MATCH(B153,Propriétaires!$A$4:$A$13,0)),0.2))</f>
        <v/>
      </c>
      <c r="N153" s="20" t="str">
        <f aca="false">IF(J153="","",(J153-L153)*M153)</f>
        <v/>
      </c>
      <c r="O153" s="20" t="str">
        <f aca="false">IF(J153="","",J153-L153-N153)</f>
        <v/>
      </c>
      <c r="P153" s="16"/>
      <c r="Q153" s="16"/>
      <c r="R153" s="16"/>
      <c r="S153" s="16"/>
      <c r="T153" s="14" t="str">
        <f aca="false">IF(F153="","",MONTH(F153))</f>
        <v/>
      </c>
      <c r="U153" s="14" t="str">
        <f aca="false">IF(F153="","",YEAR(F153))</f>
        <v/>
      </c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7"/>
      <c r="G154" s="17"/>
      <c r="H154" s="18" t="str">
        <f aca="false">IF(OR(F154="",G154=""),"",G154-F154)</f>
        <v/>
      </c>
      <c r="I154" s="19"/>
      <c r="J154" s="20" t="str">
        <f aca="false">IF(OR(H154="",I154=""),"",H154*I154)</f>
        <v/>
      </c>
      <c r="K154" s="21" t="str">
        <f aca="false">IF(C154="","",IFERROR(INDEX(Paramètres!$E$9:$E$11,MATCH(C154,Paramètres!$D$9:$D$11,0)),0))</f>
        <v/>
      </c>
      <c r="L154" s="20" t="str">
        <f aca="false">IF(J154="","",J154*K154)</f>
        <v/>
      </c>
      <c r="M154" s="21" t="str">
        <f aca="false">IF(B154="","",IFERROR(INDEX(Propriétaires!$E$4:$E$13,MATCH(B154,Propriétaires!$A$4:$A$13,0)),0.2))</f>
        <v/>
      </c>
      <c r="N154" s="20" t="str">
        <f aca="false">IF(J154="","",(J154-L154)*M154)</f>
        <v/>
      </c>
      <c r="O154" s="20" t="str">
        <f aca="false">IF(J154="","",J154-L154-N154)</f>
        <v/>
      </c>
      <c r="P154" s="16"/>
      <c r="Q154" s="16"/>
      <c r="R154" s="16"/>
      <c r="S154" s="16"/>
      <c r="T154" s="14" t="str">
        <f aca="false">IF(F154="","",MONTH(F154))</f>
        <v/>
      </c>
      <c r="U154" s="14" t="str">
        <f aca="false">IF(F154="","",YEAR(F154))</f>
        <v/>
      </c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7"/>
      <c r="G155" s="17"/>
      <c r="H155" s="18" t="str">
        <f aca="false">IF(OR(F155="",G155=""),"",G155-F155)</f>
        <v/>
      </c>
      <c r="I155" s="19"/>
      <c r="J155" s="20" t="str">
        <f aca="false">IF(OR(H155="",I155=""),"",H155*I155)</f>
        <v/>
      </c>
      <c r="K155" s="21" t="str">
        <f aca="false">IF(C155="","",IFERROR(INDEX(Paramètres!$E$9:$E$11,MATCH(C155,Paramètres!$D$9:$D$11,0)),0))</f>
        <v/>
      </c>
      <c r="L155" s="20" t="str">
        <f aca="false">IF(J155="","",J155*K155)</f>
        <v/>
      </c>
      <c r="M155" s="21" t="str">
        <f aca="false">IF(B155="","",IFERROR(INDEX(Propriétaires!$E$4:$E$13,MATCH(B155,Propriétaires!$A$4:$A$13,0)),0.2))</f>
        <v/>
      </c>
      <c r="N155" s="20" t="str">
        <f aca="false">IF(J155="","",(J155-L155)*M155)</f>
        <v/>
      </c>
      <c r="O155" s="20" t="str">
        <f aca="false">IF(J155="","",J155-L155-N155)</f>
        <v/>
      </c>
      <c r="P155" s="16"/>
      <c r="Q155" s="16"/>
      <c r="R155" s="16"/>
      <c r="S155" s="16"/>
      <c r="T155" s="14" t="str">
        <f aca="false">IF(F155="","",MONTH(F155))</f>
        <v/>
      </c>
      <c r="U155" s="14" t="str">
        <f aca="false">IF(F155="","",YEAR(F155))</f>
        <v/>
      </c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7"/>
      <c r="G156" s="17"/>
      <c r="H156" s="18" t="str">
        <f aca="false">IF(OR(F156="",G156=""),"",G156-F156)</f>
        <v/>
      </c>
      <c r="I156" s="19"/>
      <c r="J156" s="20" t="str">
        <f aca="false">IF(OR(H156="",I156=""),"",H156*I156)</f>
        <v/>
      </c>
      <c r="K156" s="21" t="str">
        <f aca="false">IF(C156="","",IFERROR(INDEX(Paramètres!$E$9:$E$11,MATCH(C156,Paramètres!$D$9:$D$11,0)),0))</f>
        <v/>
      </c>
      <c r="L156" s="20" t="str">
        <f aca="false">IF(J156="","",J156*K156)</f>
        <v/>
      </c>
      <c r="M156" s="21" t="str">
        <f aca="false">IF(B156="","",IFERROR(INDEX(Propriétaires!$E$4:$E$13,MATCH(B156,Propriétaires!$A$4:$A$13,0)),0.2))</f>
        <v/>
      </c>
      <c r="N156" s="20" t="str">
        <f aca="false">IF(J156="","",(J156-L156)*M156)</f>
        <v/>
      </c>
      <c r="O156" s="20" t="str">
        <f aca="false">IF(J156="","",J156-L156-N156)</f>
        <v/>
      </c>
      <c r="P156" s="16"/>
      <c r="Q156" s="16"/>
      <c r="R156" s="16"/>
      <c r="S156" s="16"/>
      <c r="T156" s="14" t="str">
        <f aca="false">IF(F156="","",MONTH(F156))</f>
        <v/>
      </c>
      <c r="U156" s="14" t="str">
        <f aca="false">IF(F156="","",YEAR(F156))</f>
        <v/>
      </c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7"/>
      <c r="G157" s="17"/>
      <c r="H157" s="18" t="str">
        <f aca="false">IF(OR(F157="",G157=""),"",G157-F157)</f>
        <v/>
      </c>
      <c r="I157" s="19"/>
      <c r="J157" s="20" t="str">
        <f aca="false">IF(OR(H157="",I157=""),"",H157*I157)</f>
        <v/>
      </c>
      <c r="K157" s="21" t="str">
        <f aca="false">IF(C157="","",IFERROR(INDEX(Paramètres!$E$9:$E$11,MATCH(C157,Paramètres!$D$9:$D$11,0)),0))</f>
        <v/>
      </c>
      <c r="L157" s="20" t="str">
        <f aca="false">IF(J157="","",J157*K157)</f>
        <v/>
      </c>
      <c r="M157" s="21" t="str">
        <f aca="false">IF(B157="","",IFERROR(INDEX(Propriétaires!$E$4:$E$13,MATCH(B157,Propriétaires!$A$4:$A$13,0)),0.2))</f>
        <v/>
      </c>
      <c r="N157" s="20" t="str">
        <f aca="false">IF(J157="","",(J157-L157)*M157)</f>
        <v/>
      </c>
      <c r="O157" s="20" t="str">
        <f aca="false">IF(J157="","",J157-L157-N157)</f>
        <v/>
      </c>
      <c r="P157" s="16"/>
      <c r="Q157" s="16"/>
      <c r="R157" s="16"/>
      <c r="S157" s="16"/>
      <c r="T157" s="14" t="str">
        <f aca="false">IF(F157="","",MONTH(F157))</f>
        <v/>
      </c>
      <c r="U157" s="14" t="str">
        <f aca="false">IF(F157="","",YEAR(F157))</f>
        <v/>
      </c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7"/>
      <c r="G158" s="17"/>
      <c r="H158" s="18" t="str">
        <f aca="false">IF(OR(F158="",G158=""),"",G158-F158)</f>
        <v/>
      </c>
      <c r="I158" s="19"/>
      <c r="J158" s="20" t="str">
        <f aca="false">IF(OR(H158="",I158=""),"",H158*I158)</f>
        <v/>
      </c>
      <c r="K158" s="21" t="str">
        <f aca="false">IF(C158="","",IFERROR(INDEX(Paramètres!$E$9:$E$11,MATCH(C158,Paramètres!$D$9:$D$11,0)),0))</f>
        <v/>
      </c>
      <c r="L158" s="20" t="str">
        <f aca="false">IF(J158="","",J158*K158)</f>
        <v/>
      </c>
      <c r="M158" s="21" t="str">
        <f aca="false">IF(B158="","",IFERROR(INDEX(Propriétaires!$E$4:$E$13,MATCH(B158,Propriétaires!$A$4:$A$13,0)),0.2))</f>
        <v/>
      </c>
      <c r="N158" s="20" t="str">
        <f aca="false">IF(J158="","",(J158-L158)*M158)</f>
        <v/>
      </c>
      <c r="O158" s="20" t="str">
        <f aca="false">IF(J158="","",J158-L158-N158)</f>
        <v/>
      </c>
      <c r="P158" s="16"/>
      <c r="Q158" s="16"/>
      <c r="R158" s="16"/>
      <c r="S158" s="16"/>
      <c r="T158" s="14" t="str">
        <f aca="false">IF(F158="","",MONTH(F158))</f>
        <v/>
      </c>
      <c r="U158" s="14" t="str">
        <f aca="false">IF(F158="","",YEAR(F158))</f>
        <v/>
      </c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7"/>
      <c r="G159" s="17"/>
      <c r="H159" s="18" t="str">
        <f aca="false">IF(OR(F159="",G159=""),"",G159-F159)</f>
        <v/>
      </c>
      <c r="I159" s="19"/>
      <c r="J159" s="20" t="str">
        <f aca="false">IF(OR(H159="",I159=""),"",H159*I159)</f>
        <v/>
      </c>
      <c r="K159" s="21" t="str">
        <f aca="false">IF(C159="","",IFERROR(INDEX(Paramètres!$E$9:$E$11,MATCH(C159,Paramètres!$D$9:$D$11,0)),0))</f>
        <v/>
      </c>
      <c r="L159" s="20" t="str">
        <f aca="false">IF(J159="","",J159*K159)</f>
        <v/>
      </c>
      <c r="M159" s="21" t="str">
        <f aca="false">IF(B159="","",IFERROR(INDEX(Propriétaires!$E$4:$E$13,MATCH(B159,Propriétaires!$A$4:$A$13,0)),0.2))</f>
        <v/>
      </c>
      <c r="N159" s="20" t="str">
        <f aca="false">IF(J159="","",(J159-L159)*M159)</f>
        <v/>
      </c>
      <c r="O159" s="20" t="str">
        <f aca="false">IF(J159="","",J159-L159-N159)</f>
        <v/>
      </c>
      <c r="P159" s="16"/>
      <c r="Q159" s="16"/>
      <c r="R159" s="16"/>
      <c r="S159" s="16"/>
      <c r="T159" s="14" t="str">
        <f aca="false">IF(F159="","",MONTH(F159))</f>
        <v/>
      </c>
      <c r="U159" s="14" t="str">
        <f aca="false">IF(F159="","",YEAR(F159))</f>
        <v/>
      </c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7"/>
      <c r="G160" s="17"/>
      <c r="H160" s="18" t="str">
        <f aca="false">IF(OR(F160="",G160=""),"",G160-F160)</f>
        <v/>
      </c>
      <c r="I160" s="19"/>
      <c r="J160" s="20" t="str">
        <f aca="false">IF(OR(H160="",I160=""),"",H160*I160)</f>
        <v/>
      </c>
      <c r="K160" s="21" t="str">
        <f aca="false">IF(C160="","",IFERROR(INDEX(Paramètres!$E$9:$E$11,MATCH(C160,Paramètres!$D$9:$D$11,0)),0))</f>
        <v/>
      </c>
      <c r="L160" s="20" t="str">
        <f aca="false">IF(J160="","",J160*K160)</f>
        <v/>
      </c>
      <c r="M160" s="21" t="str">
        <f aca="false">IF(B160="","",IFERROR(INDEX(Propriétaires!$E$4:$E$13,MATCH(B160,Propriétaires!$A$4:$A$13,0)),0.2))</f>
        <v/>
      </c>
      <c r="N160" s="20" t="str">
        <f aca="false">IF(J160="","",(J160-L160)*M160)</f>
        <v/>
      </c>
      <c r="O160" s="20" t="str">
        <f aca="false">IF(J160="","",J160-L160-N160)</f>
        <v/>
      </c>
      <c r="P160" s="16"/>
      <c r="Q160" s="16"/>
      <c r="R160" s="16"/>
      <c r="S160" s="16"/>
      <c r="T160" s="14" t="str">
        <f aca="false">IF(F160="","",MONTH(F160))</f>
        <v/>
      </c>
      <c r="U160" s="14" t="str">
        <f aca="false">IF(F160="","",YEAR(F160))</f>
        <v/>
      </c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7"/>
      <c r="G161" s="17"/>
      <c r="H161" s="18" t="str">
        <f aca="false">IF(OR(F161="",G161=""),"",G161-F161)</f>
        <v/>
      </c>
      <c r="I161" s="19"/>
      <c r="J161" s="20" t="str">
        <f aca="false">IF(OR(H161="",I161=""),"",H161*I161)</f>
        <v/>
      </c>
      <c r="K161" s="21" t="str">
        <f aca="false">IF(C161="","",IFERROR(INDEX(Paramètres!$E$9:$E$11,MATCH(C161,Paramètres!$D$9:$D$11,0)),0))</f>
        <v/>
      </c>
      <c r="L161" s="20" t="str">
        <f aca="false">IF(J161="","",J161*K161)</f>
        <v/>
      </c>
      <c r="M161" s="21" t="str">
        <f aca="false">IF(B161="","",IFERROR(INDEX(Propriétaires!$E$4:$E$13,MATCH(B161,Propriétaires!$A$4:$A$13,0)),0.2))</f>
        <v/>
      </c>
      <c r="N161" s="20" t="str">
        <f aca="false">IF(J161="","",(J161-L161)*M161)</f>
        <v/>
      </c>
      <c r="O161" s="20" t="str">
        <f aca="false">IF(J161="","",J161-L161-N161)</f>
        <v/>
      </c>
      <c r="P161" s="16"/>
      <c r="Q161" s="16"/>
      <c r="R161" s="16"/>
      <c r="S161" s="16"/>
      <c r="T161" s="14" t="str">
        <f aca="false">IF(F161="","",MONTH(F161))</f>
        <v/>
      </c>
      <c r="U161" s="14" t="str">
        <f aca="false">IF(F161="","",YEAR(F161))</f>
        <v/>
      </c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7"/>
      <c r="G162" s="17"/>
      <c r="H162" s="18" t="str">
        <f aca="false">IF(OR(F162="",G162=""),"",G162-F162)</f>
        <v/>
      </c>
      <c r="I162" s="19"/>
      <c r="J162" s="20" t="str">
        <f aca="false">IF(OR(H162="",I162=""),"",H162*I162)</f>
        <v/>
      </c>
      <c r="K162" s="21" t="str">
        <f aca="false">IF(C162="","",IFERROR(INDEX(Paramètres!$E$9:$E$11,MATCH(C162,Paramètres!$D$9:$D$11,0)),0))</f>
        <v/>
      </c>
      <c r="L162" s="20" t="str">
        <f aca="false">IF(J162="","",J162*K162)</f>
        <v/>
      </c>
      <c r="M162" s="21" t="str">
        <f aca="false">IF(B162="","",IFERROR(INDEX(Propriétaires!$E$4:$E$13,MATCH(B162,Propriétaires!$A$4:$A$13,0)),0.2))</f>
        <v/>
      </c>
      <c r="N162" s="20" t="str">
        <f aca="false">IF(J162="","",(J162-L162)*M162)</f>
        <v/>
      </c>
      <c r="O162" s="20" t="str">
        <f aca="false">IF(J162="","",J162-L162-N162)</f>
        <v/>
      </c>
      <c r="P162" s="16"/>
      <c r="Q162" s="16"/>
      <c r="R162" s="16"/>
      <c r="S162" s="16"/>
      <c r="T162" s="14" t="str">
        <f aca="false">IF(F162="","",MONTH(F162))</f>
        <v/>
      </c>
      <c r="U162" s="14" t="str">
        <f aca="false">IF(F162="","",YEAR(F162))</f>
        <v/>
      </c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7"/>
      <c r="G163" s="17"/>
      <c r="H163" s="18" t="str">
        <f aca="false">IF(OR(F163="",G163=""),"",G163-F163)</f>
        <v/>
      </c>
      <c r="I163" s="19"/>
      <c r="J163" s="20" t="str">
        <f aca="false">IF(OR(H163="",I163=""),"",H163*I163)</f>
        <v/>
      </c>
      <c r="K163" s="21" t="str">
        <f aca="false">IF(C163="","",IFERROR(INDEX(Paramètres!$E$9:$E$11,MATCH(C163,Paramètres!$D$9:$D$11,0)),0))</f>
        <v/>
      </c>
      <c r="L163" s="20" t="str">
        <f aca="false">IF(J163="","",J163*K163)</f>
        <v/>
      </c>
      <c r="M163" s="21" t="str">
        <f aca="false">IF(B163="","",IFERROR(INDEX(Propriétaires!$E$4:$E$13,MATCH(B163,Propriétaires!$A$4:$A$13,0)),0.2))</f>
        <v/>
      </c>
      <c r="N163" s="20" t="str">
        <f aca="false">IF(J163="","",(J163-L163)*M163)</f>
        <v/>
      </c>
      <c r="O163" s="20" t="str">
        <f aca="false">IF(J163="","",J163-L163-N163)</f>
        <v/>
      </c>
      <c r="P163" s="16"/>
      <c r="Q163" s="16"/>
      <c r="R163" s="16"/>
      <c r="S163" s="16"/>
      <c r="T163" s="14" t="str">
        <f aca="false">IF(F163="","",MONTH(F163))</f>
        <v/>
      </c>
      <c r="U163" s="14" t="str">
        <f aca="false">IF(F163="","",YEAR(F163))</f>
        <v/>
      </c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7"/>
      <c r="G164" s="17"/>
      <c r="H164" s="18" t="str">
        <f aca="false">IF(OR(F164="",G164=""),"",G164-F164)</f>
        <v/>
      </c>
      <c r="I164" s="19"/>
      <c r="J164" s="20" t="str">
        <f aca="false">IF(OR(H164="",I164=""),"",H164*I164)</f>
        <v/>
      </c>
      <c r="K164" s="21" t="str">
        <f aca="false">IF(C164="","",IFERROR(INDEX(Paramètres!$E$9:$E$11,MATCH(C164,Paramètres!$D$9:$D$11,0)),0))</f>
        <v/>
      </c>
      <c r="L164" s="20" t="str">
        <f aca="false">IF(J164="","",J164*K164)</f>
        <v/>
      </c>
      <c r="M164" s="21" t="str">
        <f aca="false">IF(B164="","",IFERROR(INDEX(Propriétaires!$E$4:$E$13,MATCH(B164,Propriétaires!$A$4:$A$13,0)),0.2))</f>
        <v/>
      </c>
      <c r="N164" s="20" t="str">
        <f aca="false">IF(J164="","",(J164-L164)*M164)</f>
        <v/>
      </c>
      <c r="O164" s="20" t="str">
        <f aca="false">IF(J164="","",J164-L164-N164)</f>
        <v/>
      </c>
      <c r="P164" s="16"/>
      <c r="Q164" s="16"/>
      <c r="R164" s="16"/>
      <c r="S164" s="16"/>
      <c r="T164" s="14" t="str">
        <f aca="false">IF(F164="","",MONTH(F164))</f>
        <v/>
      </c>
      <c r="U164" s="14" t="str">
        <f aca="false">IF(F164="","",YEAR(F164))</f>
        <v/>
      </c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7"/>
      <c r="G165" s="17"/>
      <c r="H165" s="18" t="str">
        <f aca="false">IF(OR(F165="",G165=""),"",G165-F165)</f>
        <v/>
      </c>
      <c r="I165" s="19"/>
      <c r="J165" s="20" t="str">
        <f aca="false">IF(OR(H165="",I165=""),"",H165*I165)</f>
        <v/>
      </c>
      <c r="K165" s="21" t="str">
        <f aca="false">IF(C165="","",IFERROR(INDEX(Paramètres!$E$9:$E$11,MATCH(C165,Paramètres!$D$9:$D$11,0)),0))</f>
        <v/>
      </c>
      <c r="L165" s="20" t="str">
        <f aca="false">IF(J165="","",J165*K165)</f>
        <v/>
      </c>
      <c r="M165" s="21" t="str">
        <f aca="false">IF(B165="","",IFERROR(INDEX(Propriétaires!$E$4:$E$13,MATCH(B165,Propriétaires!$A$4:$A$13,0)),0.2))</f>
        <v/>
      </c>
      <c r="N165" s="20" t="str">
        <f aca="false">IF(J165="","",(J165-L165)*M165)</f>
        <v/>
      </c>
      <c r="O165" s="20" t="str">
        <f aca="false">IF(J165="","",J165-L165-N165)</f>
        <v/>
      </c>
      <c r="P165" s="16"/>
      <c r="Q165" s="16"/>
      <c r="R165" s="16"/>
      <c r="S165" s="16"/>
      <c r="T165" s="14" t="str">
        <f aca="false">IF(F165="","",MONTH(F165))</f>
        <v/>
      </c>
      <c r="U165" s="14" t="str">
        <f aca="false">IF(F165="","",YEAR(F165))</f>
        <v/>
      </c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7"/>
      <c r="G166" s="17"/>
      <c r="H166" s="18" t="str">
        <f aca="false">IF(OR(F166="",G166=""),"",G166-F166)</f>
        <v/>
      </c>
      <c r="I166" s="19"/>
      <c r="J166" s="20" t="str">
        <f aca="false">IF(OR(H166="",I166=""),"",H166*I166)</f>
        <v/>
      </c>
      <c r="K166" s="21" t="str">
        <f aca="false">IF(C166="","",IFERROR(INDEX(Paramètres!$E$9:$E$11,MATCH(C166,Paramètres!$D$9:$D$11,0)),0))</f>
        <v/>
      </c>
      <c r="L166" s="20" t="str">
        <f aca="false">IF(J166="","",J166*K166)</f>
        <v/>
      </c>
      <c r="M166" s="21" t="str">
        <f aca="false">IF(B166="","",IFERROR(INDEX(Propriétaires!$E$4:$E$13,MATCH(B166,Propriétaires!$A$4:$A$13,0)),0.2))</f>
        <v/>
      </c>
      <c r="N166" s="20" t="str">
        <f aca="false">IF(J166="","",(J166-L166)*M166)</f>
        <v/>
      </c>
      <c r="O166" s="20" t="str">
        <f aca="false">IF(J166="","",J166-L166-N166)</f>
        <v/>
      </c>
      <c r="P166" s="16"/>
      <c r="Q166" s="16"/>
      <c r="R166" s="16"/>
      <c r="S166" s="16"/>
      <c r="T166" s="14" t="str">
        <f aca="false">IF(F166="","",MONTH(F166))</f>
        <v/>
      </c>
      <c r="U166" s="14" t="str">
        <f aca="false">IF(F166="","",YEAR(F166))</f>
        <v/>
      </c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7"/>
      <c r="G167" s="17"/>
      <c r="H167" s="18" t="str">
        <f aca="false">IF(OR(F167="",G167=""),"",G167-F167)</f>
        <v/>
      </c>
      <c r="I167" s="19"/>
      <c r="J167" s="20" t="str">
        <f aca="false">IF(OR(H167="",I167=""),"",H167*I167)</f>
        <v/>
      </c>
      <c r="K167" s="21" t="str">
        <f aca="false">IF(C167="","",IFERROR(INDEX(Paramètres!$E$9:$E$11,MATCH(C167,Paramètres!$D$9:$D$11,0)),0))</f>
        <v/>
      </c>
      <c r="L167" s="20" t="str">
        <f aca="false">IF(J167="","",J167*K167)</f>
        <v/>
      </c>
      <c r="M167" s="21" t="str">
        <f aca="false">IF(B167="","",IFERROR(INDEX(Propriétaires!$E$4:$E$13,MATCH(B167,Propriétaires!$A$4:$A$13,0)),0.2))</f>
        <v/>
      </c>
      <c r="N167" s="20" t="str">
        <f aca="false">IF(J167="","",(J167-L167)*M167)</f>
        <v/>
      </c>
      <c r="O167" s="20" t="str">
        <f aca="false">IF(J167="","",J167-L167-N167)</f>
        <v/>
      </c>
      <c r="P167" s="16"/>
      <c r="Q167" s="16"/>
      <c r="R167" s="16"/>
      <c r="S167" s="16"/>
      <c r="T167" s="14" t="str">
        <f aca="false">IF(F167="","",MONTH(F167))</f>
        <v/>
      </c>
      <c r="U167" s="14" t="str">
        <f aca="false">IF(F167="","",YEAR(F167))</f>
        <v/>
      </c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7"/>
      <c r="G168" s="17"/>
      <c r="H168" s="18" t="str">
        <f aca="false">IF(OR(F168="",G168=""),"",G168-F168)</f>
        <v/>
      </c>
      <c r="I168" s="19"/>
      <c r="J168" s="20" t="str">
        <f aca="false">IF(OR(H168="",I168=""),"",H168*I168)</f>
        <v/>
      </c>
      <c r="K168" s="21" t="str">
        <f aca="false">IF(C168="","",IFERROR(INDEX(Paramètres!$E$9:$E$11,MATCH(C168,Paramètres!$D$9:$D$11,0)),0))</f>
        <v/>
      </c>
      <c r="L168" s="20" t="str">
        <f aca="false">IF(J168="","",J168*K168)</f>
        <v/>
      </c>
      <c r="M168" s="21" t="str">
        <f aca="false">IF(B168="","",IFERROR(INDEX(Propriétaires!$E$4:$E$13,MATCH(B168,Propriétaires!$A$4:$A$13,0)),0.2))</f>
        <v/>
      </c>
      <c r="N168" s="20" t="str">
        <f aca="false">IF(J168="","",(J168-L168)*M168)</f>
        <v/>
      </c>
      <c r="O168" s="20" t="str">
        <f aca="false">IF(J168="","",J168-L168-N168)</f>
        <v/>
      </c>
      <c r="P168" s="16"/>
      <c r="Q168" s="16"/>
      <c r="R168" s="16"/>
      <c r="S168" s="16"/>
      <c r="T168" s="14" t="str">
        <f aca="false">IF(F168="","",MONTH(F168))</f>
        <v/>
      </c>
      <c r="U168" s="14" t="str">
        <f aca="false">IF(F168="","",YEAR(F168))</f>
        <v/>
      </c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7"/>
      <c r="G169" s="17"/>
      <c r="H169" s="18" t="str">
        <f aca="false">IF(OR(F169="",G169=""),"",G169-F169)</f>
        <v/>
      </c>
      <c r="I169" s="19"/>
      <c r="J169" s="20" t="str">
        <f aca="false">IF(OR(H169="",I169=""),"",H169*I169)</f>
        <v/>
      </c>
      <c r="K169" s="21" t="str">
        <f aca="false">IF(C169="","",IFERROR(INDEX(Paramètres!$E$9:$E$11,MATCH(C169,Paramètres!$D$9:$D$11,0)),0))</f>
        <v/>
      </c>
      <c r="L169" s="20" t="str">
        <f aca="false">IF(J169="","",J169*K169)</f>
        <v/>
      </c>
      <c r="M169" s="21" t="str">
        <f aca="false">IF(B169="","",IFERROR(INDEX(Propriétaires!$E$4:$E$13,MATCH(B169,Propriétaires!$A$4:$A$13,0)),0.2))</f>
        <v/>
      </c>
      <c r="N169" s="20" t="str">
        <f aca="false">IF(J169="","",(J169-L169)*M169)</f>
        <v/>
      </c>
      <c r="O169" s="20" t="str">
        <f aca="false">IF(J169="","",J169-L169-N169)</f>
        <v/>
      </c>
      <c r="P169" s="16"/>
      <c r="Q169" s="16"/>
      <c r="R169" s="16"/>
      <c r="S169" s="16"/>
      <c r="T169" s="14" t="str">
        <f aca="false">IF(F169="","",MONTH(F169))</f>
        <v/>
      </c>
      <c r="U169" s="14" t="str">
        <f aca="false">IF(F169="","",YEAR(F169))</f>
        <v/>
      </c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7"/>
      <c r="G170" s="17"/>
      <c r="H170" s="18" t="str">
        <f aca="false">IF(OR(F170="",G170=""),"",G170-F170)</f>
        <v/>
      </c>
      <c r="I170" s="19"/>
      <c r="J170" s="20" t="str">
        <f aca="false">IF(OR(H170="",I170=""),"",H170*I170)</f>
        <v/>
      </c>
      <c r="K170" s="21" t="str">
        <f aca="false">IF(C170="","",IFERROR(INDEX(Paramètres!$E$9:$E$11,MATCH(C170,Paramètres!$D$9:$D$11,0)),0))</f>
        <v/>
      </c>
      <c r="L170" s="20" t="str">
        <f aca="false">IF(J170="","",J170*K170)</f>
        <v/>
      </c>
      <c r="M170" s="21" t="str">
        <f aca="false">IF(B170="","",IFERROR(INDEX(Propriétaires!$E$4:$E$13,MATCH(B170,Propriétaires!$A$4:$A$13,0)),0.2))</f>
        <v/>
      </c>
      <c r="N170" s="20" t="str">
        <f aca="false">IF(J170="","",(J170-L170)*M170)</f>
        <v/>
      </c>
      <c r="O170" s="20" t="str">
        <f aca="false">IF(J170="","",J170-L170-N170)</f>
        <v/>
      </c>
      <c r="P170" s="16"/>
      <c r="Q170" s="16"/>
      <c r="R170" s="16"/>
      <c r="S170" s="16"/>
      <c r="T170" s="14" t="str">
        <f aca="false">IF(F170="","",MONTH(F170))</f>
        <v/>
      </c>
      <c r="U170" s="14" t="str">
        <f aca="false">IF(F170="","",YEAR(F170))</f>
        <v/>
      </c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7"/>
      <c r="G171" s="17"/>
      <c r="H171" s="18" t="str">
        <f aca="false">IF(OR(F171="",G171=""),"",G171-F171)</f>
        <v/>
      </c>
      <c r="I171" s="19"/>
      <c r="J171" s="20" t="str">
        <f aca="false">IF(OR(H171="",I171=""),"",H171*I171)</f>
        <v/>
      </c>
      <c r="K171" s="21" t="str">
        <f aca="false">IF(C171="","",IFERROR(INDEX(Paramètres!$E$9:$E$11,MATCH(C171,Paramètres!$D$9:$D$11,0)),0))</f>
        <v/>
      </c>
      <c r="L171" s="20" t="str">
        <f aca="false">IF(J171="","",J171*K171)</f>
        <v/>
      </c>
      <c r="M171" s="21" t="str">
        <f aca="false">IF(B171="","",IFERROR(INDEX(Propriétaires!$E$4:$E$13,MATCH(B171,Propriétaires!$A$4:$A$13,0)),0.2))</f>
        <v/>
      </c>
      <c r="N171" s="20" t="str">
        <f aca="false">IF(J171="","",(J171-L171)*M171)</f>
        <v/>
      </c>
      <c r="O171" s="20" t="str">
        <f aca="false">IF(J171="","",J171-L171-N171)</f>
        <v/>
      </c>
      <c r="P171" s="16"/>
      <c r="Q171" s="16"/>
      <c r="R171" s="16"/>
      <c r="S171" s="16"/>
      <c r="T171" s="14" t="str">
        <f aca="false">IF(F171="","",MONTH(F171))</f>
        <v/>
      </c>
      <c r="U171" s="14" t="str">
        <f aca="false">IF(F171="","",YEAR(F171))</f>
        <v/>
      </c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7"/>
      <c r="G172" s="17"/>
      <c r="H172" s="18" t="str">
        <f aca="false">IF(OR(F172="",G172=""),"",G172-F172)</f>
        <v/>
      </c>
      <c r="I172" s="19"/>
      <c r="J172" s="20" t="str">
        <f aca="false">IF(OR(H172="",I172=""),"",H172*I172)</f>
        <v/>
      </c>
      <c r="K172" s="21" t="str">
        <f aca="false">IF(C172="","",IFERROR(INDEX(Paramètres!$E$9:$E$11,MATCH(C172,Paramètres!$D$9:$D$11,0)),0))</f>
        <v/>
      </c>
      <c r="L172" s="20" t="str">
        <f aca="false">IF(J172="","",J172*K172)</f>
        <v/>
      </c>
      <c r="M172" s="21" t="str">
        <f aca="false">IF(B172="","",IFERROR(INDEX(Propriétaires!$E$4:$E$13,MATCH(B172,Propriétaires!$A$4:$A$13,0)),0.2))</f>
        <v/>
      </c>
      <c r="N172" s="20" t="str">
        <f aca="false">IF(J172="","",(J172-L172)*M172)</f>
        <v/>
      </c>
      <c r="O172" s="20" t="str">
        <f aca="false">IF(J172="","",J172-L172-N172)</f>
        <v/>
      </c>
      <c r="P172" s="16"/>
      <c r="Q172" s="16"/>
      <c r="R172" s="16"/>
      <c r="S172" s="16"/>
      <c r="T172" s="14" t="str">
        <f aca="false">IF(F172="","",MONTH(F172))</f>
        <v/>
      </c>
      <c r="U172" s="14" t="str">
        <f aca="false">IF(F172="","",YEAR(F172))</f>
        <v/>
      </c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7"/>
      <c r="G173" s="17"/>
      <c r="H173" s="18" t="str">
        <f aca="false">IF(OR(F173="",G173=""),"",G173-F173)</f>
        <v/>
      </c>
      <c r="I173" s="19"/>
      <c r="J173" s="20" t="str">
        <f aca="false">IF(OR(H173="",I173=""),"",H173*I173)</f>
        <v/>
      </c>
      <c r="K173" s="21" t="str">
        <f aca="false">IF(C173="","",IFERROR(INDEX(Paramètres!$E$9:$E$11,MATCH(C173,Paramètres!$D$9:$D$11,0)),0))</f>
        <v/>
      </c>
      <c r="L173" s="20" t="str">
        <f aca="false">IF(J173="","",J173*K173)</f>
        <v/>
      </c>
      <c r="M173" s="21" t="str">
        <f aca="false">IF(B173="","",IFERROR(INDEX(Propriétaires!$E$4:$E$13,MATCH(B173,Propriétaires!$A$4:$A$13,0)),0.2))</f>
        <v/>
      </c>
      <c r="N173" s="20" t="str">
        <f aca="false">IF(J173="","",(J173-L173)*M173)</f>
        <v/>
      </c>
      <c r="O173" s="20" t="str">
        <f aca="false">IF(J173="","",J173-L173-N173)</f>
        <v/>
      </c>
      <c r="P173" s="16"/>
      <c r="Q173" s="16"/>
      <c r="R173" s="16"/>
      <c r="S173" s="16"/>
      <c r="T173" s="14" t="str">
        <f aca="false">IF(F173="","",MONTH(F173))</f>
        <v/>
      </c>
      <c r="U173" s="14" t="str">
        <f aca="false">IF(F173="","",YEAR(F173))</f>
        <v/>
      </c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7"/>
      <c r="G174" s="17"/>
      <c r="H174" s="18" t="str">
        <f aca="false">IF(OR(F174="",G174=""),"",G174-F174)</f>
        <v/>
      </c>
      <c r="I174" s="19"/>
      <c r="J174" s="20" t="str">
        <f aca="false">IF(OR(H174="",I174=""),"",H174*I174)</f>
        <v/>
      </c>
      <c r="K174" s="21" t="str">
        <f aca="false">IF(C174="","",IFERROR(INDEX(Paramètres!$E$9:$E$11,MATCH(C174,Paramètres!$D$9:$D$11,0)),0))</f>
        <v/>
      </c>
      <c r="L174" s="20" t="str">
        <f aca="false">IF(J174="","",J174*K174)</f>
        <v/>
      </c>
      <c r="M174" s="21" t="str">
        <f aca="false">IF(B174="","",IFERROR(INDEX(Propriétaires!$E$4:$E$13,MATCH(B174,Propriétaires!$A$4:$A$13,0)),0.2))</f>
        <v/>
      </c>
      <c r="N174" s="20" t="str">
        <f aca="false">IF(J174="","",(J174-L174)*M174)</f>
        <v/>
      </c>
      <c r="O174" s="20" t="str">
        <f aca="false">IF(J174="","",J174-L174-N174)</f>
        <v/>
      </c>
      <c r="P174" s="16"/>
      <c r="Q174" s="16"/>
      <c r="R174" s="16"/>
      <c r="S174" s="16"/>
      <c r="T174" s="14" t="str">
        <f aca="false">IF(F174="","",MONTH(F174))</f>
        <v/>
      </c>
      <c r="U174" s="14" t="str">
        <f aca="false">IF(F174="","",YEAR(F174))</f>
        <v/>
      </c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7"/>
      <c r="G175" s="17"/>
      <c r="H175" s="18" t="str">
        <f aca="false">IF(OR(F175="",G175=""),"",G175-F175)</f>
        <v/>
      </c>
      <c r="I175" s="19"/>
      <c r="J175" s="20" t="str">
        <f aca="false">IF(OR(H175="",I175=""),"",H175*I175)</f>
        <v/>
      </c>
      <c r="K175" s="21" t="str">
        <f aca="false">IF(C175="","",IFERROR(INDEX(Paramètres!$E$9:$E$11,MATCH(C175,Paramètres!$D$9:$D$11,0)),0))</f>
        <v/>
      </c>
      <c r="L175" s="20" t="str">
        <f aca="false">IF(J175="","",J175*K175)</f>
        <v/>
      </c>
      <c r="M175" s="21" t="str">
        <f aca="false">IF(B175="","",IFERROR(INDEX(Propriétaires!$E$4:$E$13,MATCH(B175,Propriétaires!$A$4:$A$13,0)),0.2))</f>
        <v/>
      </c>
      <c r="N175" s="20" t="str">
        <f aca="false">IF(J175="","",(J175-L175)*M175)</f>
        <v/>
      </c>
      <c r="O175" s="20" t="str">
        <f aca="false">IF(J175="","",J175-L175-N175)</f>
        <v/>
      </c>
      <c r="P175" s="16"/>
      <c r="Q175" s="16"/>
      <c r="R175" s="16"/>
      <c r="S175" s="16"/>
      <c r="T175" s="14" t="str">
        <f aca="false">IF(F175="","",MONTH(F175))</f>
        <v/>
      </c>
      <c r="U175" s="14" t="str">
        <f aca="false">IF(F175="","",YEAR(F175))</f>
        <v/>
      </c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7"/>
      <c r="G176" s="17"/>
      <c r="H176" s="18" t="str">
        <f aca="false">IF(OR(F176="",G176=""),"",G176-F176)</f>
        <v/>
      </c>
      <c r="I176" s="19"/>
      <c r="J176" s="20" t="str">
        <f aca="false">IF(OR(H176="",I176=""),"",H176*I176)</f>
        <v/>
      </c>
      <c r="K176" s="21" t="str">
        <f aca="false">IF(C176="","",IFERROR(INDEX(Paramètres!$E$9:$E$11,MATCH(C176,Paramètres!$D$9:$D$11,0)),0))</f>
        <v/>
      </c>
      <c r="L176" s="20" t="str">
        <f aca="false">IF(J176="","",J176*K176)</f>
        <v/>
      </c>
      <c r="M176" s="21" t="str">
        <f aca="false">IF(B176="","",IFERROR(INDEX(Propriétaires!$E$4:$E$13,MATCH(B176,Propriétaires!$A$4:$A$13,0)),0.2))</f>
        <v/>
      </c>
      <c r="N176" s="20" t="str">
        <f aca="false">IF(J176="","",(J176-L176)*M176)</f>
        <v/>
      </c>
      <c r="O176" s="20" t="str">
        <f aca="false">IF(J176="","",J176-L176-N176)</f>
        <v/>
      </c>
      <c r="P176" s="16"/>
      <c r="Q176" s="16"/>
      <c r="R176" s="16"/>
      <c r="S176" s="16"/>
      <c r="T176" s="14" t="str">
        <f aca="false">IF(F176="","",MONTH(F176))</f>
        <v/>
      </c>
      <c r="U176" s="14" t="str">
        <f aca="false">IF(F176="","",YEAR(F176))</f>
        <v/>
      </c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7"/>
      <c r="G177" s="17"/>
      <c r="H177" s="18" t="str">
        <f aca="false">IF(OR(F177="",G177=""),"",G177-F177)</f>
        <v/>
      </c>
      <c r="I177" s="19"/>
      <c r="J177" s="20" t="str">
        <f aca="false">IF(OR(H177="",I177=""),"",H177*I177)</f>
        <v/>
      </c>
      <c r="K177" s="21" t="str">
        <f aca="false">IF(C177="","",IFERROR(INDEX(Paramètres!$E$9:$E$11,MATCH(C177,Paramètres!$D$9:$D$11,0)),0))</f>
        <v/>
      </c>
      <c r="L177" s="20" t="str">
        <f aca="false">IF(J177="","",J177*K177)</f>
        <v/>
      </c>
      <c r="M177" s="21" t="str">
        <f aca="false">IF(B177="","",IFERROR(INDEX(Propriétaires!$E$4:$E$13,MATCH(B177,Propriétaires!$A$4:$A$13,0)),0.2))</f>
        <v/>
      </c>
      <c r="N177" s="20" t="str">
        <f aca="false">IF(J177="","",(J177-L177)*M177)</f>
        <v/>
      </c>
      <c r="O177" s="20" t="str">
        <f aca="false">IF(J177="","",J177-L177-N177)</f>
        <v/>
      </c>
      <c r="P177" s="16"/>
      <c r="Q177" s="16"/>
      <c r="R177" s="16"/>
      <c r="S177" s="16"/>
      <c r="T177" s="14" t="str">
        <f aca="false">IF(F177="","",MONTH(F177))</f>
        <v/>
      </c>
      <c r="U177" s="14" t="str">
        <f aca="false">IF(F177="","",YEAR(F177))</f>
        <v/>
      </c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7"/>
      <c r="G178" s="17"/>
      <c r="H178" s="18" t="str">
        <f aca="false">IF(OR(F178="",G178=""),"",G178-F178)</f>
        <v/>
      </c>
      <c r="I178" s="19"/>
      <c r="J178" s="20" t="str">
        <f aca="false">IF(OR(H178="",I178=""),"",H178*I178)</f>
        <v/>
      </c>
      <c r="K178" s="21" t="str">
        <f aca="false">IF(C178="","",IFERROR(INDEX(Paramètres!$E$9:$E$11,MATCH(C178,Paramètres!$D$9:$D$11,0)),0))</f>
        <v/>
      </c>
      <c r="L178" s="20" t="str">
        <f aca="false">IF(J178="","",J178*K178)</f>
        <v/>
      </c>
      <c r="M178" s="21" t="str">
        <f aca="false">IF(B178="","",IFERROR(INDEX(Propriétaires!$E$4:$E$13,MATCH(B178,Propriétaires!$A$4:$A$13,0)),0.2))</f>
        <v/>
      </c>
      <c r="N178" s="20" t="str">
        <f aca="false">IF(J178="","",(J178-L178)*M178)</f>
        <v/>
      </c>
      <c r="O178" s="20" t="str">
        <f aca="false">IF(J178="","",J178-L178-N178)</f>
        <v/>
      </c>
      <c r="P178" s="16"/>
      <c r="Q178" s="16"/>
      <c r="R178" s="16"/>
      <c r="S178" s="16"/>
      <c r="T178" s="14" t="str">
        <f aca="false">IF(F178="","",MONTH(F178))</f>
        <v/>
      </c>
      <c r="U178" s="14" t="str">
        <f aca="false">IF(F178="","",YEAR(F178))</f>
        <v/>
      </c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7"/>
      <c r="G179" s="17"/>
      <c r="H179" s="18" t="str">
        <f aca="false">IF(OR(F179="",G179=""),"",G179-F179)</f>
        <v/>
      </c>
      <c r="I179" s="19"/>
      <c r="J179" s="20" t="str">
        <f aca="false">IF(OR(H179="",I179=""),"",H179*I179)</f>
        <v/>
      </c>
      <c r="K179" s="21" t="str">
        <f aca="false">IF(C179="","",IFERROR(INDEX(Paramètres!$E$9:$E$11,MATCH(C179,Paramètres!$D$9:$D$11,0)),0))</f>
        <v/>
      </c>
      <c r="L179" s="20" t="str">
        <f aca="false">IF(J179="","",J179*K179)</f>
        <v/>
      </c>
      <c r="M179" s="21" t="str">
        <f aca="false">IF(B179="","",IFERROR(INDEX(Propriétaires!$E$4:$E$13,MATCH(B179,Propriétaires!$A$4:$A$13,0)),0.2))</f>
        <v/>
      </c>
      <c r="N179" s="20" t="str">
        <f aca="false">IF(J179="","",(J179-L179)*M179)</f>
        <v/>
      </c>
      <c r="O179" s="20" t="str">
        <f aca="false">IF(J179="","",J179-L179-N179)</f>
        <v/>
      </c>
      <c r="P179" s="16"/>
      <c r="Q179" s="16"/>
      <c r="R179" s="16"/>
      <c r="S179" s="16"/>
      <c r="T179" s="14" t="str">
        <f aca="false">IF(F179="","",MONTH(F179))</f>
        <v/>
      </c>
      <c r="U179" s="14" t="str">
        <f aca="false">IF(F179="","",YEAR(F179))</f>
        <v/>
      </c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7"/>
      <c r="G180" s="17"/>
      <c r="H180" s="18" t="str">
        <f aca="false">IF(OR(F180="",G180=""),"",G180-F180)</f>
        <v/>
      </c>
      <c r="I180" s="19"/>
      <c r="J180" s="20" t="str">
        <f aca="false">IF(OR(H180="",I180=""),"",H180*I180)</f>
        <v/>
      </c>
      <c r="K180" s="21" t="str">
        <f aca="false">IF(C180="","",IFERROR(INDEX(Paramètres!$E$9:$E$11,MATCH(C180,Paramètres!$D$9:$D$11,0)),0))</f>
        <v/>
      </c>
      <c r="L180" s="20" t="str">
        <f aca="false">IF(J180="","",J180*K180)</f>
        <v/>
      </c>
      <c r="M180" s="21" t="str">
        <f aca="false">IF(B180="","",IFERROR(INDEX(Propriétaires!$E$4:$E$13,MATCH(B180,Propriétaires!$A$4:$A$13,0)),0.2))</f>
        <v/>
      </c>
      <c r="N180" s="20" t="str">
        <f aca="false">IF(J180="","",(J180-L180)*M180)</f>
        <v/>
      </c>
      <c r="O180" s="20" t="str">
        <f aca="false">IF(J180="","",J180-L180-N180)</f>
        <v/>
      </c>
      <c r="P180" s="16"/>
      <c r="Q180" s="16"/>
      <c r="R180" s="16"/>
      <c r="S180" s="16"/>
      <c r="T180" s="14" t="str">
        <f aca="false">IF(F180="","",MONTH(F180))</f>
        <v/>
      </c>
      <c r="U180" s="14" t="str">
        <f aca="false">IF(F180="","",YEAR(F180))</f>
        <v/>
      </c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7"/>
      <c r="G181" s="17"/>
      <c r="H181" s="18" t="str">
        <f aca="false">IF(OR(F181="",G181=""),"",G181-F181)</f>
        <v/>
      </c>
      <c r="I181" s="19"/>
      <c r="J181" s="20" t="str">
        <f aca="false">IF(OR(H181="",I181=""),"",H181*I181)</f>
        <v/>
      </c>
      <c r="K181" s="21" t="str">
        <f aca="false">IF(C181="","",IFERROR(INDEX(Paramètres!$E$9:$E$11,MATCH(C181,Paramètres!$D$9:$D$11,0)),0))</f>
        <v/>
      </c>
      <c r="L181" s="20" t="str">
        <f aca="false">IF(J181="","",J181*K181)</f>
        <v/>
      </c>
      <c r="M181" s="21" t="str">
        <f aca="false">IF(B181="","",IFERROR(INDEX(Propriétaires!$E$4:$E$13,MATCH(B181,Propriétaires!$A$4:$A$13,0)),0.2))</f>
        <v/>
      </c>
      <c r="N181" s="20" t="str">
        <f aca="false">IF(J181="","",(J181-L181)*M181)</f>
        <v/>
      </c>
      <c r="O181" s="20" t="str">
        <f aca="false">IF(J181="","",J181-L181-N181)</f>
        <v/>
      </c>
      <c r="P181" s="16"/>
      <c r="Q181" s="16"/>
      <c r="R181" s="16"/>
      <c r="S181" s="16"/>
      <c r="T181" s="14" t="str">
        <f aca="false">IF(F181="","",MONTH(F181))</f>
        <v/>
      </c>
      <c r="U181" s="14" t="str">
        <f aca="false">IF(F181="","",YEAR(F181))</f>
        <v/>
      </c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7"/>
      <c r="G182" s="17"/>
      <c r="H182" s="18" t="str">
        <f aca="false">IF(OR(F182="",G182=""),"",G182-F182)</f>
        <v/>
      </c>
      <c r="I182" s="19"/>
      <c r="J182" s="20" t="str">
        <f aca="false">IF(OR(H182="",I182=""),"",H182*I182)</f>
        <v/>
      </c>
      <c r="K182" s="21" t="str">
        <f aca="false">IF(C182="","",IFERROR(INDEX(Paramètres!$E$9:$E$11,MATCH(C182,Paramètres!$D$9:$D$11,0)),0))</f>
        <v/>
      </c>
      <c r="L182" s="20" t="str">
        <f aca="false">IF(J182="","",J182*K182)</f>
        <v/>
      </c>
      <c r="M182" s="21" t="str">
        <f aca="false">IF(B182="","",IFERROR(INDEX(Propriétaires!$E$4:$E$13,MATCH(B182,Propriétaires!$A$4:$A$13,0)),0.2))</f>
        <v/>
      </c>
      <c r="N182" s="20" t="str">
        <f aca="false">IF(J182="","",(J182-L182)*M182)</f>
        <v/>
      </c>
      <c r="O182" s="20" t="str">
        <f aca="false">IF(J182="","",J182-L182-N182)</f>
        <v/>
      </c>
      <c r="P182" s="16"/>
      <c r="Q182" s="16"/>
      <c r="R182" s="16"/>
      <c r="S182" s="16"/>
      <c r="T182" s="14" t="str">
        <f aca="false">IF(F182="","",MONTH(F182))</f>
        <v/>
      </c>
      <c r="U182" s="14" t="str">
        <f aca="false">IF(F182="","",YEAR(F182))</f>
        <v/>
      </c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7"/>
      <c r="G183" s="17"/>
      <c r="H183" s="18" t="str">
        <f aca="false">IF(OR(F183="",G183=""),"",G183-F183)</f>
        <v/>
      </c>
      <c r="I183" s="19"/>
      <c r="J183" s="20" t="str">
        <f aca="false">IF(OR(H183="",I183=""),"",H183*I183)</f>
        <v/>
      </c>
      <c r="K183" s="21" t="str">
        <f aca="false">IF(C183="","",IFERROR(INDEX(Paramètres!$E$9:$E$11,MATCH(C183,Paramètres!$D$9:$D$11,0)),0))</f>
        <v/>
      </c>
      <c r="L183" s="20" t="str">
        <f aca="false">IF(J183="","",J183*K183)</f>
        <v/>
      </c>
      <c r="M183" s="21" t="str">
        <f aca="false">IF(B183="","",IFERROR(INDEX(Propriétaires!$E$4:$E$13,MATCH(B183,Propriétaires!$A$4:$A$13,0)),0.2))</f>
        <v/>
      </c>
      <c r="N183" s="20" t="str">
        <f aca="false">IF(J183="","",(J183-L183)*M183)</f>
        <v/>
      </c>
      <c r="O183" s="20" t="str">
        <f aca="false">IF(J183="","",J183-L183-N183)</f>
        <v/>
      </c>
      <c r="P183" s="16"/>
      <c r="Q183" s="16"/>
      <c r="R183" s="16"/>
      <c r="S183" s="16"/>
      <c r="T183" s="14" t="str">
        <f aca="false">IF(F183="","",MONTH(F183))</f>
        <v/>
      </c>
      <c r="U183" s="14" t="str">
        <f aca="false">IF(F183="","",YEAR(F183))</f>
        <v/>
      </c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7"/>
      <c r="G184" s="17"/>
      <c r="H184" s="18" t="str">
        <f aca="false">IF(OR(F184="",G184=""),"",G184-F184)</f>
        <v/>
      </c>
      <c r="I184" s="19"/>
      <c r="J184" s="20" t="str">
        <f aca="false">IF(OR(H184="",I184=""),"",H184*I184)</f>
        <v/>
      </c>
      <c r="K184" s="21" t="str">
        <f aca="false">IF(C184="","",IFERROR(INDEX(Paramètres!$E$9:$E$11,MATCH(C184,Paramètres!$D$9:$D$11,0)),0))</f>
        <v/>
      </c>
      <c r="L184" s="20" t="str">
        <f aca="false">IF(J184="","",J184*K184)</f>
        <v/>
      </c>
      <c r="M184" s="21" t="str">
        <f aca="false">IF(B184="","",IFERROR(INDEX(Propriétaires!$E$4:$E$13,MATCH(B184,Propriétaires!$A$4:$A$13,0)),0.2))</f>
        <v/>
      </c>
      <c r="N184" s="20" t="str">
        <f aca="false">IF(J184="","",(J184-L184)*M184)</f>
        <v/>
      </c>
      <c r="O184" s="20" t="str">
        <f aca="false">IF(J184="","",J184-L184-N184)</f>
        <v/>
      </c>
      <c r="P184" s="16"/>
      <c r="Q184" s="16"/>
      <c r="R184" s="16"/>
      <c r="S184" s="16"/>
      <c r="T184" s="14" t="str">
        <f aca="false">IF(F184="","",MONTH(F184))</f>
        <v/>
      </c>
      <c r="U184" s="14" t="str">
        <f aca="false">IF(F184="","",YEAR(F184))</f>
        <v/>
      </c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7"/>
      <c r="G185" s="17"/>
      <c r="H185" s="18" t="str">
        <f aca="false">IF(OR(F185="",G185=""),"",G185-F185)</f>
        <v/>
      </c>
      <c r="I185" s="19"/>
      <c r="J185" s="20" t="str">
        <f aca="false">IF(OR(H185="",I185=""),"",H185*I185)</f>
        <v/>
      </c>
      <c r="K185" s="21" t="str">
        <f aca="false">IF(C185="","",IFERROR(INDEX(Paramètres!$E$9:$E$11,MATCH(C185,Paramètres!$D$9:$D$11,0)),0))</f>
        <v/>
      </c>
      <c r="L185" s="20" t="str">
        <f aca="false">IF(J185="","",J185*K185)</f>
        <v/>
      </c>
      <c r="M185" s="21" t="str">
        <f aca="false">IF(B185="","",IFERROR(INDEX(Propriétaires!$E$4:$E$13,MATCH(B185,Propriétaires!$A$4:$A$13,0)),0.2))</f>
        <v/>
      </c>
      <c r="N185" s="20" t="str">
        <f aca="false">IF(J185="","",(J185-L185)*M185)</f>
        <v/>
      </c>
      <c r="O185" s="20" t="str">
        <f aca="false">IF(J185="","",J185-L185-N185)</f>
        <v/>
      </c>
      <c r="P185" s="16"/>
      <c r="Q185" s="16"/>
      <c r="R185" s="16"/>
      <c r="S185" s="16"/>
      <c r="T185" s="14" t="str">
        <f aca="false">IF(F185="","",MONTH(F185))</f>
        <v/>
      </c>
      <c r="U185" s="14" t="str">
        <f aca="false">IF(F185="","",YEAR(F185))</f>
        <v/>
      </c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7"/>
      <c r="G186" s="17"/>
      <c r="H186" s="18" t="str">
        <f aca="false">IF(OR(F186="",G186=""),"",G186-F186)</f>
        <v/>
      </c>
      <c r="I186" s="19"/>
      <c r="J186" s="20" t="str">
        <f aca="false">IF(OR(H186="",I186=""),"",H186*I186)</f>
        <v/>
      </c>
      <c r="K186" s="21" t="str">
        <f aca="false">IF(C186="","",IFERROR(INDEX(Paramètres!$E$9:$E$11,MATCH(C186,Paramètres!$D$9:$D$11,0)),0))</f>
        <v/>
      </c>
      <c r="L186" s="20" t="str">
        <f aca="false">IF(J186="","",J186*K186)</f>
        <v/>
      </c>
      <c r="M186" s="21" t="str">
        <f aca="false">IF(B186="","",IFERROR(INDEX(Propriétaires!$E$4:$E$13,MATCH(B186,Propriétaires!$A$4:$A$13,0)),0.2))</f>
        <v/>
      </c>
      <c r="N186" s="20" t="str">
        <f aca="false">IF(J186="","",(J186-L186)*M186)</f>
        <v/>
      </c>
      <c r="O186" s="20" t="str">
        <f aca="false">IF(J186="","",J186-L186-N186)</f>
        <v/>
      </c>
      <c r="P186" s="16"/>
      <c r="Q186" s="16"/>
      <c r="R186" s="16"/>
      <c r="S186" s="16"/>
      <c r="T186" s="14" t="str">
        <f aca="false">IF(F186="","",MONTH(F186))</f>
        <v/>
      </c>
      <c r="U186" s="14" t="str">
        <f aca="false">IF(F186="","",YEAR(F186))</f>
        <v/>
      </c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7"/>
      <c r="G187" s="17"/>
      <c r="H187" s="18" t="str">
        <f aca="false">IF(OR(F187="",G187=""),"",G187-F187)</f>
        <v/>
      </c>
      <c r="I187" s="19"/>
      <c r="J187" s="20" t="str">
        <f aca="false">IF(OR(H187="",I187=""),"",H187*I187)</f>
        <v/>
      </c>
      <c r="K187" s="21" t="str">
        <f aca="false">IF(C187="","",IFERROR(INDEX(Paramètres!$E$9:$E$11,MATCH(C187,Paramètres!$D$9:$D$11,0)),0))</f>
        <v/>
      </c>
      <c r="L187" s="20" t="str">
        <f aca="false">IF(J187="","",J187*K187)</f>
        <v/>
      </c>
      <c r="M187" s="21" t="str">
        <f aca="false">IF(B187="","",IFERROR(INDEX(Propriétaires!$E$4:$E$13,MATCH(B187,Propriétaires!$A$4:$A$13,0)),0.2))</f>
        <v/>
      </c>
      <c r="N187" s="20" t="str">
        <f aca="false">IF(J187="","",(J187-L187)*M187)</f>
        <v/>
      </c>
      <c r="O187" s="20" t="str">
        <f aca="false">IF(J187="","",J187-L187-N187)</f>
        <v/>
      </c>
      <c r="P187" s="16"/>
      <c r="Q187" s="16"/>
      <c r="R187" s="16"/>
      <c r="S187" s="16"/>
      <c r="T187" s="14" t="str">
        <f aca="false">IF(F187="","",MONTH(F187))</f>
        <v/>
      </c>
      <c r="U187" s="14" t="str">
        <f aca="false">IF(F187="","",YEAR(F187))</f>
        <v/>
      </c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7"/>
      <c r="G188" s="17"/>
      <c r="H188" s="18" t="str">
        <f aca="false">IF(OR(F188="",G188=""),"",G188-F188)</f>
        <v/>
      </c>
      <c r="I188" s="19"/>
      <c r="J188" s="20" t="str">
        <f aca="false">IF(OR(H188="",I188=""),"",H188*I188)</f>
        <v/>
      </c>
      <c r="K188" s="21" t="str">
        <f aca="false">IF(C188="","",IFERROR(INDEX(Paramètres!$E$9:$E$11,MATCH(C188,Paramètres!$D$9:$D$11,0)),0))</f>
        <v/>
      </c>
      <c r="L188" s="20" t="str">
        <f aca="false">IF(J188="","",J188*K188)</f>
        <v/>
      </c>
      <c r="M188" s="21" t="str">
        <f aca="false">IF(B188="","",IFERROR(INDEX(Propriétaires!$E$4:$E$13,MATCH(B188,Propriétaires!$A$4:$A$13,0)),0.2))</f>
        <v/>
      </c>
      <c r="N188" s="20" t="str">
        <f aca="false">IF(J188="","",(J188-L188)*M188)</f>
        <v/>
      </c>
      <c r="O188" s="20" t="str">
        <f aca="false">IF(J188="","",J188-L188-N188)</f>
        <v/>
      </c>
      <c r="P188" s="16"/>
      <c r="Q188" s="16"/>
      <c r="R188" s="16"/>
      <c r="S188" s="16"/>
      <c r="T188" s="14" t="str">
        <f aca="false">IF(F188="","",MONTH(F188))</f>
        <v/>
      </c>
      <c r="U188" s="14" t="str">
        <f aca="false">IF(F188="","",YEAR(F188))</f>
        <v/>
      </c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7"/>
      <c r="G189" s="17"/>
      <c r="H189" s="18" t="str">
        <f aca="false">IF(OR(F189="",G189=""),"",G189-F189)</f>
        <v/>
      </c>
      <c r="I189" s="19"/>
      <c r="J189" s="20" t="str">
        <f aca="false">IF(OR(H189="",I189=""),"",H189*I189)</f>
        <v/>
      </c>
      <c r="K189" s="21" t="str">
        <f aca="false">IF(C189="","",IFERROR(INDEX(Paramètres!$E$9:$E$11,MATCH(C189,Paramètres!$D$9:$D$11,0)),0))</f>
        <v/>
      </c>
      <c r="L189" s="20" t="str">
        <f aca="false">IF(J189="","",J189*K189)</f>
        <v/>
      </c>
      <c r="M189" s="21" t="str">
        <f aca="false">IF(B189="","",IFERROR(INDEX(Propriétaires!$E$4:$E$13,MATCH(B189,Propriétaires!$A$4:$A$13,0)),0.2))</f>
        <v/>
      </c>
      <c r="N189" s="20" t="str">
        <f aca="false">IF(J189="","",(J189-L189)*M189)</f>
        <v/>
      </c>
      <c r="O189" s="20" t="str">
        <f aca="false">IF(J189="","",J189-L189-N189)</f>
        <v/>
      </c>
      <c r="P189" s="16"/>
      <c r="Q189" s="16"/>
      <c r="R189" s="16"/>
      <c r="S189" s="16"/>
      <c r="T189" s="14" t="str">
        <f aca="false">IF(F189="","",MONTH(F189))</f>
        <v/>
      </c>
      <c r="U189" s="14" t="str">
        <f aca="false">IF(F189="","",YEAR(F189))</f>
        <v/>
      </c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7"/>
      <c r="G190" s="17"/>
      <c r="H190" s="18" t="str">
        <f aca="false">IF(OR(F190="",G190=""),"",G190-F190)</f>
        <v/>
      </c>
      <c r="I190" s="19"/>
      <c r="J190" s="20" t="str">
        <f aca="false">IF(OR(H190="",I190=""),"",H190*I190)</f>
        <v/>
      </c>
      <c r="K190" s="21" t="str">
        <f aca="false">IF(C190="","",IFERROR(INDEX(Paramètres!$E$9:$E$11,MATCH(C190,Paramètres!$D$9:$D$11,0)),0))</f>
        <v/>
      </c>
      <c r="L190" s="20" t="str">
        <f aca="false">IF(J190="","",J190*K190)</f>
        <v/>
      </c>
      <c r="M190" s="21" t="str">
        <f aca="false">IF(B190="","",IFERROR(INDEX(Propriétaires!$E$4:$E$13,MATCH(B190,Propriétaires!$A$4:$A$13,0)),0.2))</f>
        <v/>
      </c>
      <c r="N190" s="20" t="str">
        <f aca="false">IF(J190="","",(J190-L190)*M190)</f>
        <v/>
      </c>
      <c r="O190" s="20" t="str">
        <f aca="false">IF(J190="","",J190-L190-N190)</f>
        <v/>
      </c>
      <c r="P190" s="16"/>
      <c r="Q190" s="16"/>
      <c r="R190" s="16"/>
      <c r="S190" s="16"/>
      <c r="T190" s="14" t="str">
        <f aca="false">IF(F190="","",MONTH(F190))</f>
        <v/>
      </c>
      <c r="U190" s="14" t="str">
        <f aca="false">IF(F190="","",YEAR(F190))</f>
        <v/>
      </c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7"/>
      <c r="G191" s="17"/>
      <c r="H191" s="18" t="str">
        <f aca="false">IF(OR(F191="",G191=""),"",G191-F191)</f>
        <v/>
      </c>
      <c r="I191" s="19"/>
      <c r="J191" s="20" t="str">
        <f aca="false">IF(OR(H191="",I191=""),"",H191*I191)</f>
        <v/>
      </c>
      <c r="K191" s="21" t="str">
        <f aca="false">IF(C191="","",IFERROR(INDEX(Paramètres!$E$9:$E$11,MATCH(C191,Paramètres!$D$9:$D$11,0)),0))</f>
        <v/>
      </c>
      <c r="L191" s="20" t="str">
        <f aca="false">IF(J191="","",J191*K191)</f>
        <v/>
      </c>
      <c r="M191" s="21" t="str">
        <f aca="false">IF(B191="","",IFERROR(INDEX(Propriétaires!$E$4:$E$13,MATCH(B191,Propriétaires!$A$4:$A$13,0)),0.2))</f>
        <v/>
      </c>
      <c r="N191" s="20" t="str">
        <f aca="false">IF(J191="","",(J191-L191)*M191)</f>
        <v/>
      </c>
      <c r="O191" s="20" t="str">
        <f aca="false">IF(J191="","",J191-L191-N191)</f>
        <v/>
      </c>
      <c r="P191" s="16"/>
      <c r="Q191" s="16"/>
      <c r="R191" s="16"/>
      <c r="S191" s="16"/>
      <c r="T191" s="14" t="str">
        <f aca="false">IF(F191="","",MONTH(F191))</f>
        <v/>
      </c>
      <c r="U191" s="14" t="str">
        <f aca="false">IF(F191="","",YEAR(F191))</f>
        <v/>
      </c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7"/>
      <c r="G192" s="17"/>
      <c r="H192" s="18" t="str">
        <f aca="false">IF(OR(F192="",G192=""),"",G192-F192)</f>
        <v/>
      </c>
      <c r="I192" s="19"/>
      <c r="J192" s="20" t="str">
        <f aca="false">IF(OR(H192="",I192=""),"",H192*I192)</f>
        <v/>
      </c>
      <c r="K192" s="21" t="str">
        <f aca="false">IF(C192="","",IFERROR(INDEX(Paramètres!$E$9:$E$11,MATCH(C192,Paramètres!$D$9:$D$11,0)),0))</f>
        <v/>
      </c>
      <c r="L192" s="20" t="str">
        <f aca="false">IF(J192="","",J192*K192)</f>
        <v/>
      </c>
      <c r="M192" s="21" t="str">
        <f aca="false">IF(B192="","",IFERROR(INDEX(Propriétaires!$E$4:$E$13,MATCH(B192,Propriétaires!$A$4:$A$13,0)),0.2))</f>
        <v/>
      </c>
      <c r="N192" s="20" t="str">
        <f aca="false">IF(J192="","",(J192-L192)*M192)</f>
        <v/>
      </c>
      <c r="O192" s="20" t="str">
        <f aca="false">IF(J192="","",J192-L192-N192)</f>
        <v/>
      </c>
      <c r="P192" s="16"/>
      <c r="Q192" s="16"/>
      <c r="R192" s="16"/>
      <c r="S192" s="16"/>
      <c r="T192" s="14" t="str">
        <f aca="false">IF(F192="","",MONTH(F192))</f>
        <v/>
      </c>
      <c r="U192" s="14" t="str">
        <f aca="false">IF(F192="","",YEAR(F192))</f>
        <v/>
      </c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7"/>
      <c r="G193" s="17"/>
      <c r="H193" s="18" t="str">
        <f aca="false">IF(OR(F193="",G193=""),"",G193-F193)</f>
        <v/>
      </c>
      <c r="I193" s="19"/>
      <c r="J193" s="20" t="str">
        <f aca="false">IF(OR(H193="",I193=""),"",H193*I193)</f>
        <v/>
      </c>
      <c r="K193" s="21" t="str">
        <f aca="false">IF(C193="","",IFERROR(INDEX(Paramètres!$E$9:$E$11,MATCH(C193,Paramètres!$D$9:$D$11,0)),0))</f>
        <v/>
      </c>
      <c r="L193" s="20" t="str">
        <f aca="false">IF(J193="","",J193*K193)</f>
        <v/>
      </c>
      <c r="M193" s="21" t="str">
        <f aca="false">IF(B193="","",IFERROR(INDEX(Propriétaires!$E$4:$E$13,MATCH(B193,Propriétaires!$A$4:$A$13,0)),0.2))</f>
        <v/>
      </c>
      <c r="N193" s="20" t="str">
        <f aca="false">IF(J193="","",(J193-L193)*M193)</f>
        <v/>
      </c>
      <c r="O193" s="20" t="str">
        <f aca="false">IF(J193="","",J193-L193-N193)</f>
        <v/>
      </c>
      <c r="P193" s="16"/>
      <c r="Q193" s="16"/>
      <c r="R193" s="16"/>
      <c r="S193" s="16"/>
      <c r="T193" s="14" t="str">
        <f aca="false">IF(F193="","",MONTH(F193))</f>
        <v/>
      </c>
      <c r="U193" s="14" t="str">
        <f aca="false">IF(F193="","",YEAR(F193))</f>
        <v/>
      </c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7"/>
      <c r="G194" s="17"/>
      <c r="H194" s="18" t="str">
        <f aca="false">IF(OR(F194="",G194=""),"",G194-F194)</f>
        <v/>
      </c>
      <c r="I194" s="19"/>
      <c r="J194" s="20" t="str">
        <f aca="false">IF(OR(H194="",I194=""),"",H194*I194)</f>
        <v/>
      </c>
      <c r="K194" s="21" t="str">
        <f aca="false">IF(C194="","",IFERROR(INDEX(Paramètres!$E$9:$E$11,MATCH(C194,Paramètres!$D$9:$D$11,0)),0))</f>
        <v/>
      </c>
      <c r="L194" s="20" t="str">
        <f aca="false">IF(J194="","",J194*K194)</f>
        <v/>
      </c>
      <c r="M194" s="21" t="str">
        <f aca="false">IF(B194="","",IFERROR(INDEX(Propriétaires!$E$4:$E$13,MATCH(B194,Propriétaires!$A$4:$A$13,0)),0.2))</f>
        <v/>
      </c>
      <c r="N194" s="20" t="str">
        <f aca="false">IF(J194="","",(J194-L194)*M194)</f>
        <v/>
      </c>
      <c r="O194" s="20" t="str">
        <f aca="false">IF(J194="","",J194-L194-N194)</f>
        <v/>
      </c>
      <c r="P194" s="16"/>
      <c r="Q194" s="16"/>
      <c r="R194" s="16"/>
      <c r="S194" s="16"/>
      <c r="T194" s="14" t="str">
        <f aca="false">IF(F194="","",MONTH(F194))</f>
        <v/>
      </c>
      <c r="U194" s="14" t="str">
        <f aca="false">IF(F194="","",YEAR(F194))</f>
        <v/>
      </c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7"/>
      <c r="G195" s="17"/>
      <c r="H195" s="18" t="str">
        <f aca="false">IF(OR(F195="",G195=""),"",G195-F195)</f>
        <v/>
      </c>
      <c r="I195" s="19"/>
      <c r="J195" s="20" t="str">
        <f aca="false">IF(OR(H195="",I195=""),"",H195*I195)</f>
        <v/>
      </c>
      <c r="K195" s="21" t="str">
        <f aca="false">IF(C195="","",IFERROR(INDEX(Paramètres!$E$9:$E$11,MATCH(C195,Paramètres!$D$9:$D$11,0)),0))</f>
        <v/>
      </c>
      <c r="L195" s="20" t="str">
        <f aca="false">IF(J195="","",J195*K195)</f>
        <v/>
      </c>
      <c r="M195" s="21" t="str">
        <f aca="false">IF(B195="","",IFERROR(INDEX(Propriétaires!$E$4:$E$13,MATCH(B195,Propriétaires!$A$4:$A$13,0)),0.2))</f>
        <v/>
      </c>
      <c r="N195" s="20" t="str">
        <f aca="false">IF(J195="","",(J195-L195)*M195)</f>
        <v/>
      </c>
      <c r="O195" s="20" t="str">
        <f aca="false">IF(J195="","",J195-L195-N195)</f>
        <v/>
      </c>
      <c r="P195" s="16"/>
      <c r="Q195" s="16"/>
      <c r="R195" s="16"/>
      <c r="S195" s="16"/>
      <c r="T195" s="14" t="str">
        <f aca="false">IF(F195="","",MONTH(F195))</f>
        <v/>
      </c>
      <c r="U195" s="14" t="str">
        <f aca="false">IF(F195="","",YEAR(F195))</f>
        <v/>
      </c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7"/>
      <c r="G196" s="17"/>
      <c r="H196" s="18" t="str">
        <f aca="false">IF(OR(F196="",G196=""),"",G196-F196)</f>
        <v/>
      </c>
      <c r="I196" s="19"/>
      <c r="J196" s="20" t="str">
        <f aca="false">IF(OR(H196="",I196=""),"",H196*I196)</f>
        <v/>
      </c>
      <c r="K196" s="21" t="str">
        <f aca="false">IF(C196="","",IFERROR(INDEX(Paramètres!$E$9:$E$11,MATCH(C196,Paramètres!$D$9:$D$11,0)),0))</f>
        <v/>
      </c>
      <c r="L196" s="20" t="str">
        <f aca="false">IF(J196="","",J196*K196)</f>
        <v/>
      </c>
      <c r="M196" s="21" t="str">
        <f aca="false">IF(B196="","",IFERROR(INDEX(Propriétaires!$E$4:$E$13,MATCH(B196,Propriétaires!$A$4:$A$13,0)),0.2))</f>
        <v/>
      </c>
      <c r="N196" s="20" t="str">
        <f aca="false">IF(J196="","",(J196-L196)*M196)</f>
        <v/>
      </c>
      <c r="O196" s="20" t="str">
        <f aca="false">IF(J196="","",J196-L196-N196)</f>
        <v/>
      </c>
      <c r="P196" s="16"/>
      <c r="Q196" s="16"/>
      <c r="R196" s="16"/>
      <c r="S196" s="16"/>
      <c r="T196" s="14" t="str">
        <f aca="false">IF(F196="","",MONTH(F196))</f>
        <v/>
      </c>
      <c r="U196" s="14" t="str">
        <f aca="false">IF(F196="","",YEAR(F196))</f>
        <v/>
      </c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7"/>
      <c r="G197" s="17"/>
      <c r="H197" s="18" t="str">
        <f aca="false">IF(OR(F197="",G197=""),"",G197-F197)</f>
        <v/>
      </c>
      <c r="I197" s="19"/>
      <c r="J197" s="20" t="str">
        <f aca="false">IF(OR(H197="",I197=""),"",H197*I197)</f>
        <v/>
      </c>
      <c r="K197" s="21" t="str">
        <f aca="false">IF(C197="","",IFERROR(INDEX(Paramètres!$E$9:$E$11,MATCH(C197,Paramètres!$D$9:$D$11,0)),0))</f>
        <v/>
      </c>
      <c r="L197" s="20" t="str">
        <f aca="false">IF(J197="","",J197*K197)</f>
        <v/>
      </c>
      <c r="M197" s="21" t="str">
        <f aca="false">IF(B197="","",IFERROR(INDEX(Propriétaires!$E$4:$E$13,MATCH(B197,Propriétaires!$A$4:$A$13,0)),0.2))</f>
        <v/>
      </c>
      <c r="N197" s="20" t="str">
        <f aca="false">IF(J197="","",(J197-L197)*M197)</f>
        <v/>
      </c>
      <c r="O197" s="20" t="str">
        <f aca="false">IF(J197="","",J197-L197-N197)</f>
        <v/>
      </c>
      <c r="P197" s="16"/>
      <c r="Q197" s="16"/>
      <c r="R197" s="16"/>
      <c r="S197" s="16"/>
      <c r="T197" s="14" t="str">
        <f aca="false">IF(F197="","",MONTH(F197))</f>
        <v/>
      </c>
      <c r="U197" s="14" t="str">
        <f aca="false">IF(F197="","",YEAR(F197))</f>
        <v/>
      </c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7"/>
      <c r="G198" s="17"/>
      <c r="H198" s="18" t="str">
        <f aca="false">IF(OR(F198="",G198=""),"",G198-F198)</f>
        <v/>
      </c>
      <c r="I198" s="19"/>
      <c r="J198" s="20" t="str">
        <f aca="false">IF(OR(H198="",I198=""),"",H198*I198)</f>
        <v/>
      </c>
      <c r="K198" s="21" t="str">
        <f aca="false">IF(C198="","",IFERROR(INDEX(Paramètres!$E$9:$E$11,MATCH(C198,Paramètres!$D$9:$D$11,0)),0))</f>
        <v/>
      </c>
      <c r="L198" s="20" t="str">
        <f aca="false">IF(J198="","",J198*K198)</f>
        <v/>
      </c>
      <c r="M198" s="21" t="str">
        <f aca="false">IF(B198="","",IFERROR(INDEX(Propriétaires!$E$4:$E$13,MATCH(B198,Propriétaires!$A$4:$A$13,0)),0.2))</f>
        <v/>
      </c>
      <c r="N198" s="20" t="str">
        <f aca="false">IF(J198="","",(J198-L198)*M198)</f>
        <v/>
      </c>
      <c r="O198" s="20" t="str">
        <f aca="false">IF(J198="","",J198-L198-N198)</f>
        <v/>
      </c>
      <c r="P198" s="16"/>
      <c r="Q198" s="16"/>
      <c r="R198" s="16"/>
      <c r="S198" s="16"/>
      <c r="T198" s="14" t="str">
        <f aca="false">IF(F198="","",MONTH(F198))</f>
        <v/>
      </c>
      <c r="U198" s="14" t="str">
        <f aca="false">IF(F198="","",YEAR(F198))</f>
        <v/>
      </c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7"/>
      <c r="G199" s="17"/>
      <c r="H199" s="18" t="str">
        <f aca="false">IF(OR(F199="",G199=""),"",G199-F199)</f>
        <v/>
      </c>
      <c r="I199" s="19"/>
      <c r="J199" s="20" t="str">
        <f aca="false">IF(OR(H199="",I199=""),"",H199*I199)</f>
        <v/>
      </c>
      <c r="K199" s="21" t="str">
        <f aca="false">IF(C199="","",IFERROR(INDEX(Paramètres!$E$9:$E$11,MATCH(C199,Paramètres!$D$9:$D$11,0)),0))</f>
        <v/>
      </c>
      <c r="L199" s="20" t="str">
        <f aca="false">IF(J199="","",J199*K199)</f>
        <v/>
      </c>
      <c r="M199" s="21" t="str">
        <f aca="false">IF(B199="","",IFERROR(INDEX(Propriétaires!$E$4:$E$13,MATCH(B199,Propriétaires!$A$4:$A$13,0)),0.2))</f>
        <v/>
      </c>
      <c r="N199" s="20" t="str">
        <f aca="false">IF(J199="","",(J199-L199)*M199)</f>
        <v/>
      </c>
      <c r="O199" s="20" t="str">
        <f aca="false">IF(J199="","",J199-L199-N199)</f>
        <v/>
      </c>
      <c r="P199" s="16"/>
      <c r="Q199" s="16"/>
      <c r="R199" s="16"/>
      <c r="S199" s="16"/>
      <c r="T199" s="14" t="str">
        <f aca="false">IF(F199="","",MONTH(F199))</f>
        <v/>
      </c>
      <c r="U199" s="14" t="str">
        <f aca="false">IF(F199="","",YEAR(F199))</f>
        <v/>
      </c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7"/>
      <c r="G200" s="17"/>
      <c r="H200" s="18" t="str">
        <f aca="false">IF(OR(F200="",G200=""),"",G200-F200)</f>
        <v/>
      </c>
      <c r="I200" s="19"/>
      <c r="J200" s="20" t="str">
        <f aca="false">IF(OR(H200="",I200=""),"",H200*I200)</f>
        <v/>
      </c>
      <c r="K200" s="21" t="str">
        <f aca="false">IF(C200="","",IFERROR(INDEX(Paramètres!$E$9:$E$11,MATCH(C200,Paramètres!$D$9:$D$11,0)),0))</f>
        <v/>
      </c>
      <c r="L200" s="20" t="str">
        <f aca="false">IF(J200="","",J200*K200)</f>
        <v/>
      </c>
      <c r="M200" s="21" t="str">
        <f aca="false">IF(B200="","",IFERROR(INDEX(Propriétaires!$E$4:$E$13,MATCH(B200,Propriétaires!$A$4:$A$13,0)),0.2))</f>
        <v/>
      </c>
      <c r="N200" s="20" t="str">
        <f aca="false">IF(J200="","",(J200-L200)*M200)</f>
        <v/>
      </c>
      <c r="O200" s="20" t="str">
        <f aca="false">IF(J200="","",J200-L200-N200)</f>
        <v/>
      </c>
      <c r="P200" s="16"/>
      <c r="Q200" s="16"/>
      <c r="R200" s="16"/>
      <c r="S200" s="16"/>
      <c r="T200" s="14" t="str">
        <f aca="false">IF(F200="","",MONTH(F200))</f>
        <v/>
      </c>
      <c r="U200" s="14" t="str">
        <f aca="false">IF(F200="","",YEAR(F200))</f>
        <v/>
      </c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7"/>
      <c r="G201" s="17"/>
      <c r="H201" s="18" t="str">
        <f aca="false">IF(OR(F201="",G201=""),"",G201-F201)</f>
        <v/>
      </c>
      <c r="I201" s="19"/>
      <c r="J201" s="20" t="str">
        <f aca="false">IF(OR(H201="",I201=""),"",H201*I201)</f>
        <v/>
      </c>
      <c r="K201" s="21" t="str">
        <f aca="false">IF(C201="","",IFERROR(INDEX(Paramètres!$E$9:$E$11,MATCH(C201,Paramètres!$D$9:$D$11,0)),0))</f>
        <v/>
      </c>
      <c r="L201" s="20" t="str">
        <f aca="false">IF(J201="","",J201*K201)</f>
        <v/>
      </c>
      <c r="M201" s="21" t="str">
        <f aca="false">IF(B201="","",IFERROR(INDEX(Propriétaires!$E$4:$E$13,MATCH(B201,Propriétaires!$A$4:$A$13,0)),0.2))</f>
        <v/>
      </c>
      <c r="N201" s="20" t="str">
        <f aca="false">IF(J201="","",(J201-L201)*M201)</f>
        <v/>
      </c>
      <c r="O201" s="20" t="str">
        <f aca="false">IF(J201="","",J201-L201-N201)</f>
        <v/>
      </c>
      <c r="P201" s="16"/>
      <c r="Q201" s="16"/>
      <c r="R201" s="16"/>
      <c r="S201" s="16"/>
      <c r="T201" s="14" t="str">
        <f aca="false">IF(F201="","",MONTH(F201))</f>
        <v/>
      </c>
      <c r="U201" s="14" t="str">
        <f aca="false">IF(F201="","",YEAR(F201))</f>
        <v/>
      </c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7"/>
      <c r="G202" s="17"/>
      <c r="H202" s="18" t="str">
        <f aca="false">IF(OR(F202="",G202=""),"",G202-F202)</f>
        <v/>
      </c>
      <c r="I202" s="19"/>
      <c r="J202" s="20" t="str">
        <f aca="false">IF(OR(H202="",I202=""),"",H202*I202)</f>
        <v/>
      </c>
      <c r="K202" s="21" t="str">
        <f aca="false">IF(C202="","",IFERROR(INDEX(Paramètres!$E$9:$E$11,MATCH(C202,Paramètres!$D$9:$D$11,0)),0))</f>
        <v/>
      </c>
      <c r="L202" s="20" t="str">
        <f aca="false">IF(J202="","",J202*K202)</f>
        <v/>
      </c>
      <c r="M202" s="21" t="str">
        <f aca="false">IF(B202="","",IFERROR(INDEX(Propriétaires!$E$4:$E$13,MATCH(B202,Propriétaires!$A$4:$A$13,0)),0.2))</f>
        <v/>
      </c>
      <c r="N202" s="20" t="str">
        <f aca="false">IF(J202="","",(J202-L202)*M202)</f>
        <v/>
      </c>
      <c r="O202" s="20" t="str">
        <f aca="false">IF(J202="","",J202-L202-N202)</f>
        <v/>
      </c>
      <c r="P202" s="16"/>
      <c r="Q202" s="16"/>
      <c r="R202" s="16"/>
      <c r="S202" s="16"/>
      <c r="T202" s="14" t="str">
        <f aca="false">IF(F202="","",MONTH(F202))</f>
        <v/>
      </c>
      <c r="U202" s="14" t="str">
        <f aca="false">IF(F202="","",YEAR(F202))</f>
        <v/>
      </c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7"/>
      <c r="G203" s="17"/>
      <c r="H203" s="18" t="str">
        <f aca="false">IF(OR(F203="",G203=""),"",G203-F203)</f>
        <v/>
      </c>
      <c r="I203" s="19"/>
      <c r="J203" s="20" t="str">
        <f aca="false">IF(OR(H203="",I203=""),"",H203*I203)</f>
        <v/>
      </c>
      <c r="K203" s="21" t="str">
        <f aca="false">IF(C203="","",IFERROR(INDEX(Paramètres!$E$9:$E$11,MATCH(C203,Paramètres!$D$9:$D$11,0)),0))</f>
        <v/>
      </c>
      <c r="L203" s="20" t="str">
        <f aca="false">IF(J203="","",J203*K203)</f>
        <v/>
      </c>
      <c r="M203" s="21" t="str">
        <f aca="false">IF(B203="","",IFERROR(INDEX(Propriétaires!$E$4:$E$13,MATCH(B203,Propriétaires!$A$4:$A$13,0)),0.2))</f>
        <v/>
      </c>
      <c r="N203" s="20" t="str">
        <f aca="false">IF(J203="","",(J203-L203)*M203)</f>
        <v/>
      </c>
      <c r="O203" s="20" t="str">
        <f aca="false">IF(J203="","",J203-L203-N203)</f>
        <v/>
      </c>
      <c r="P203" s="16"/>
      <c r="Q203" s="16"/>
      <c r="R203" s="16"/>
      <c r="S203" s="16"/>
      <c r="T203" s="14" t="str">
        <f aca="false">IF(F203="","",MONTH(F203))</f>
        <v/>
      </c>
      <c r="U203" s="14" t="str">
        <f aca="false">IF(F203="","",YEAR(F203))</f>
        <v/>
      </c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7"/>
      <c r="G204" s="17"/>
      <c r="H204" s="18" t="str">
        <f aca="false">IF(OR(F204="",G204=""),"",G204-F204)</f>
        <v/>
      </c>
      <c r="I204" s="19"/>
      <c r="J204" s="20" t="str">
        <f aca="false">IF(OR(H204="",I204=""),"",H204*I204)</f>
        <v/>
      </c>
      <c r="K204" s="21" t="str">
        <f aca="false">IF(C204="","",IFERROR(INDEX(Paramètres!$E$9:$E$11,MATCH(C204,Paramètres!$D$9:$D$11,0)),0))</f>
        <v/>
      </c>
      <c r="L204" s="20" t="str">
        <f aca="false">IF(J204="","",J204*K204)</f>
        <v/>
      </c>
      <c r="M204" s="21" t="str">
        <f aca="false">IF(B204="","",IFERROR(INDEX(Propriétaires!$E$4:$E$13,MATCH(B204,Propriétaires!$A$4:$A$13,0)),0.2))</f>
        <v/>
      </c>
      <c r="N204" s="20" t="str">
        <f aca="false">IF(J204="","",(J204-L204)*M204)</f>
        <v/>
      </c>
      <c r="O204" s="20" t="str">
        <f aca="false">IF(J204="","",J204-L204-N204)</f>
        <v/>
      </c>
      <c r="P204" s="16"/>
      <c r="Q204" s="16"/>
      <c r="R204" s="16"/>
      <c r="S204" s="16"/>
      <c r="T204" s="14" t="str">
        <f aca="false">IF(F204="","",MONTH(F204))</f>
        <v/>
      </c>
      <c r="U204" s="14" t="str">
        <f aca="false">IF(F204="","",YEAR(F204))</f>
        <v/>
      </c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7"/>
      <c r="G205" s="17"/>
      <c r="H205" s="18" t="str">
        <f aca="false">IF(OR(F205="",G205=""),"",G205-F205)</f>
        <v/>
      </c>
      <c r="I205" s="19"/>
      <c r="J205" s="20" t="str">
        <f aca="false">IF(OR(H205="",I205=""),"",H205*I205)</f>
        <v/>
      </c>
      <c r="K205" s="21" t="str">
        <f aca="false">IF(C205="","",IFERROR(INDEX(Paramètres!$E$9:$E$11,MATCH(C205,Paramètres!$D$9:$D$11,0)),0))</f>
        <v/>
      </c>
      <c r="L205" s="20" t="str">
        <f aca="false">IF(J205="","",J205*K205)</f>
        <v/>
      </c>
      <c r="M205" s="21" t="str">
        <f aca="false">IF(B205="","",IFERROR(INDEX(Propriétaires!$E$4:$E$13,MATCH(B205,Propriétaires!$A$4:$A$13,0)),0.2))</f>
        <v/>
      </c>
      <c r="N205" s="20" t="str">
        <f aca="false">IF(J205="","",(J205-L205)*M205)</f>
        <v/>
      </c>
      <c r="O205" s="20" t="str">
        <f aca="false">IF(J205="","",J205-L205-N205)</f>
        <v/>
      </c>
      <c r="P205" s="16"/>
      <c r="Q205" s="16"/>
      <c r="R205" s="16"/>
      <c r="S205" s="16"/>
      <c r="T205" s="14" t="str">
        <f aca="false">IF(F205="","",MONTH(F205))</f>
        <v/>
      </c>
      <c r="U205" s="14" t="str">
        <f aca="false">IF(F205="","",YEAR(F205))</f>
        <v/>
      </c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7"/>
      <c r="G206" s="17"/>
      <c r="H206" s="18" t="str">
        <f aca="false">IF(OR(F206="",G206=""),"",G206-F206)</f>
        <v/>
      </c>
      <c r="I206" s="19"/>
      <c r="J206" s="20" t="str">
        <f aca="false">IF(OR(H206="",I206=""),"",H206*I206)</f>
        <v/>
      </c>
      <c r="K206" s="21" t="str">
        <f aca="false">IF(C206="","",IFERROR(INDEX(Paramètres!$E$9:$E$11,MATCH(C206,Paramètres!$D$9:$D$11,0)),0))</f>
        <v/>
      </c>
      <c r="L206" s="20" t="str">
        <f aca="false">IF(J206="","",J206*K206)</f>
        <v/>
      </c>
      <c r="M206" s="21" t="str">
        <f aca="false">IF(B206="","",IFERROR(INDEX(Propriétaires!$E$4:$E$13,MATCH(B206,Propriétaires!$A$4:$A$13,0)),0.2))</f>
        <v/>
      </c>
      <c r="N206" s="20" t="str">
        <f aca="false">IF(J206="","",(J206-L206)*M206)</f>
        <v/>
      </c>
      <c r="O206" s="20" t="str">
        <f aca="false">IF(J206="","",J206-L206-N206)</f>
        <v/>
      </c>
      <c r="P206" s="16"/>
      <c r="Q206" s="16"/>
      <c r="R206" s="16"/>
      <c r="S206" s="16"/>
      <c r="T206" s="14" t="str">
        <f aca="false">IF(F206="","",MONTH(F206))</f>
        <v/>
      </c>
      <c r="U206" s="14" t="str">
        <f aca="false">IF(F206="","",YEAR(F206))</f>
        <v/>
      </c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7"/>
      <c r="G207" s="17"/>
      <c r="H207" s="18" t="str">
        <f aca="false">IF(OR(F207="",G207=""),"",G207-F207)</f>
        <v/>
      </c>
      <c r="I207" s="19"/>
      <c r="J207" s="20" t="str">
        <f aca="false">IF(OR(H207="",I207=""),"",H207*I207)</f>
        <v/>
      </c>
      <c r="K207" s="21" t="str">
        <f aca="false">IF(C207="","",IFERROR(INDEX(Paramètres!$E$9:$E$11,MATCH(C207,Paramètres!$D$9:$D$11,0)),0))</f>
        <v/>
      </c>
      <c r="L207" s="20" t="str">
        <f aca="false">IF(J207="","",J207*K207)</f>
        <v/>
      </c>
      <c r="M207" s="21" t="str">
        <f aca="false">IF(B207="","",IFERROR(INDEX(Propriétaires!$E$4:$E$13,MATCH(B207,Propriétaires!$A$4:$A$13,0)),0.2))</f>
        <v/>
      </c>
      <c r="N207" s="20" t="str">
        <f aca="false">IF(J207="","",(J207-L207)*M207)</f>
        <v/>
      </c>
      <c r="O207" s="20" t="str">
        <f aca="false">IF(J207="","",J207-L207-N207)</f>
        <v/>
      </c>
      <c r="P207" s="16"/>
      <c r="Q207" s="16"/>
      <c r="R207" s="16"/>
      <c r="S207" s="16"/>
      <c r="T207" s="14" t="str">
        <f aca="false">IF(F207="","",MONTH(F207))</f>
        <v/>
      </c>
      <c r="U207" s="14" t="str">
        <f aca="false">IF(F207="","",YEAR(F207))</f>
        <v/>
      </c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7"/>
      <c r="G208" s="17"/>
      <c r="H208" s="18" t="str">
        <f aca="false">IF(OR(F208="",G208=""),"",G208-F208)</f>
        <v/>
      </c>
      <c r="I208" s="19"/>
      <c r="J208" s="20" t="str">
        <f aca="false">IF(OR(H208="",I208=""),"",H208*I208)</f>
        <v/>
      </c>
      <c r="K208" s="21" t="str">
        <f aca="false">IF(C208="","",IFERROR(INDEX(Paramètres!$E$9:$E$11,MATCH(C208,Paramètres!$D$9:$D$11,0)),0))</f>
        <v/>
      </c>
      <c r="L208" s="20" t="str">
        <f aca="false">IF(J208="","",J208*K208)</f>
        <v/>
      </c>
      <c r="M208" s="21" t="str">
        <f aca="false">IF(B208="","",IFERROR(INDEX(Propriétaires!$E$4:$E$13,MATCH(B208,Propriétaires!$A$4:$A$13,0)),0.2))</f>
        <v/>
      </c>
      <c r="N208" s="20" t="str">
        <f aca="false">IF(J208="","",(J208-L208)*M208)</f>
        <v/>
      </c>
      <c r="O208" s="20" t="str">
        <f aca="false">IF(J208="","",J208-L208-N208)</f>
        <v/>
      </c>
      <c r="P208" s="16"/>
      <c r="Q208" s="16"/>
      <c r="R208" s="16"/>
      <c r="S208" s="16"/>
      <c r="T208" s="14" t="str">
        <f aca="false">IF(F208="","",MONTH(F208))</f>
        <v/>
      </c>
      <c r="U208" s="14" t="str">
        <f aca="false">IF(F208="","",YEAR(F208))</f>
        <v/>
      </c>
    </row>
    <row r="209" customFormat="false" ht="15" hidden="false" customHeight="false" outlineLevel="0" collapsed="false">
      <c r="A209" s="16"/>
      <c r="B209" s="16"/>
      <c r="C209" s="16"/>
      <c r="D209" s="16"/>
      <c r="E209" s="16"/>
      <c r="F209" s="17"/>
      <c r="G209" s="17"/>
      <c r="H209" s="18" t="str">
        <f aca="false">IF(OR(F209="",G209=""),"",G209-F209)</f>
        <v/>
      </c>
      <c r="I209" s="19"/>
      <c r="J209" s="20" t="str">
        <f aca="false">IF(OR(H209="",I209=""),"",H209*I209)</f>
        <v/>
      </c>
      <c r="K209" s="21" t="str">
        <f aca="false">IF(C209="","",IFERROR(INDEX(Paramètres!$E$9:$E$11,MATCH(C209,Paramètres!$D$9:$D$11,0)),0))</f>
        <v/>
      </c>
      <c r="L209" s="20" t="str">
        <f aca="false">IF(J209="","",J209*K209)</f>
        <v/>
      </c>
      <c r="M209" s="21" t="str">
        <f aca="false">IF(B209="","",IFERROR(INDEX(Propriétaires!$E$4:$E$13,MATCH(B209,Propriétaires!$A$4:$A$13,0)),0.2))</f>
        <v/>
      </c>
      <c r="N209" s="20" t="str">
        <f aca="false">IF(J209="","",(J209-L209)*M209)</f>
        <v/>
      </c>
      <c r="O209" s="20" t="str">
        <f aca="false">IF(J209="","",J209-L209-N209)</f>
        <v/>
      </c>
      <c r="P209" s="16"/>
      <c r="Q209" s="16"/>
      <c r="R209" s="16"/>
      <c r="S209" s="16"/>
      <c r="T209" s="14" t="str">
        <f aca="false">IF(F209="","",MONTH(F209))</f>
        <v/>
      </c>
      <c r="U209" s="14" t="str">
        <f aca="false">IF(F209="","",YEAR(F209))</f>
        <v/>
      </c>
    </row>
    <row r="210" customFormat="false" ht="15" hidden="false" customHeight="false" outlineLevel="0" collapsed="false">
      <c r="A210" s="16"/>
      <c r="B210" s="16"/>
      <c r="C210" s="16"/>
      <c r="D210" s="16"/>
      <c r="E210" s="16"/>
      <c r="F210" s="17"/>
      <c r="G210" s="17"/>
      <c r="H210" s="18" t="str">
        <f aca="false">IF(OR(F210="",G210=""),"",G210-F210)</f>
        <v/>
      </c>
      <c r="I210" s="19"/>
      <c r="J210" s="20" t="str">
        <f aca="false">IF(OR(H210="",I210=""),"",H210*I210)</f>
        <v/>
      </c>
      <c r="K210" s="21" t="str">
        <f aca="false">IF(C210="","",IFERROR(INDEX(Paramètres!$E$9:$E$11,MATCH(C210,Paramètres!$D$9:$D$11,0)),0))</f>
        <v/>
      </c>
      <c r="L210" s="20" t="str">
        <f aca="false">IF(J210="","",J210*K210)</f>
        <v/>
      </c>
      <c r="M210" s="21" t="str">
        <f aca="false">IF(B210="","",IFERROR(INDEX(Propriétaires!$E$4:$E$13,MATCH(B210,Propriétaires!$A$4:$A$13,0)),0.2))</f>
        <v/>
      </c>
      <c r="N210" s="20" t="str">
        <f aca="false">IF(J210="","",(J210-L210)*M210)</f>
        <v/>
      </c>
      <c r="O210" s="20" t="str">
        <f aca="false">IF(J210="","",J210-L210-N210)</f>
        <v/>
      </c>
      <c r="P210" s="16"/>
      <c r="Q210" s="16"/>
      <c r="R210" s="16"/>
      <c r="S210" s="16"/>
      <c r="T210" s="14" t="str">
        <f aca="false">IF(F210="","",MONTH(F210))</f>
        <v/>
      </c>
      <c r="U210" s="14" t="str">
        <f aca="false">IF(F210="","",YEAR(F210))</f>
        <v/>
      </c>
    </row>
    <row r="211" customFormat="false" ht="15" hidden="false" customHeight="false" outlineLevel="0" collapsed="false">
      <c r="A211" s="16"/>
      <c r="B211" s="16"/>
      <c r="C211" s="16"/>
      <c r="D211" s="16"/>
      <c r="E211" s="16"/>
      <c r="F211" s="17"/>
      <c r="G211" s="17"/>
      <c r="H211" s="18" t="str">
        <f aca="false">IF(OR(F211="",G211=""),"",G211-F211)</f>
        <v/>
      </c>
      <c r="I211" s="19"/>
      <c r="J211" s="20" t="str">
        <f aca="false">IF(OR(H211="",I211=""),"",H211*I211)</f>
        <v/>
      </c>
      <c r="K211" s="21" t="str">
        <f aca="false">IF(C211="","",IFERROR(INDEX(Paramètres!$E$9:$E$11,MATCH(C211,Paramètres!$D$9:$D$11,0)),0))</f>
        <v/>
      </c>
      <c r="L211" s="20" t="str">
        <f aca="false">IF(J211="","",J211*K211)</f>
        <v/>
      </c>
      <c r="M211" s="21" t="str">
        <f aca="false">IF(B211="","",IFERROR(INDEX(Propriétaires!$E$4:$E$13,MATCH(B211,Propriétaires!$A$4:$A$13,0)),0.2))</f>
        <v/>
      </c>
      <c r="N211" s="20" t="str">
        <f aca="false">IF(J211="","",(J211-L211)*M211)</f>
        <v/>
      </c>
      <c r="O211" s="20" t="str">
        <f aca="false">IF(J211="","",J211-L211-N211)</f>
        <v/>
      </c>
      <c r="P211" s="16"/>
      <c r="Q211" s="16"/>
      <c r="R211" s="16"/>
      <c r="S211" s="16"/>
      <c r="T211" s="14" t="str">
        <f aca="false">IF(F211="","",MONTH(F211))</f>
        <v/>
      </c>
      <c r="U211" s="14" t="str">
        <f aca="false">IF(F211="","",YEAR(F211))</f>
        <v/>
      </c>
    </row>
    <row r="212" customFormat="false" ht="15" hidden="false" customHeight="false" outlineLevel="0" collapsed="false">
      <c r="A212" s="16"/>
      <c r="B212" s="16"/>
      <c r="C212" s="16"/>
      <c r="D212" s="16"/>
      <c r="E212" s="16"/>
      <c r="F212" s="17"/>
      <c r="G212" s="17"/>
      <c r="H212" s="18" t="str">
        <f aca="false">IF(OR(F212="",G212=""),"",G212-F212)</f>
        <v/>
      </c>
      <c r="I212" s="19"/>
      <c r="J212" s="20" t="str">
        <f aca="false">IF(OR(H212="",I212=""),"",H212*I212)</f>
        <v/>
      </c>
      <c r="K212" s="21" t="str">
        <f aca="false">IF(C212="","",IFERROR(INDEX(Paramètres!$E$9:$E$11,MATCH(C212,Paramètres!$D$9:$D$11,0)),0))</f>
        <v/>
      </c>
      <c r="L212" s="20" t="str">
        <f aca="false">IF(J212="","",J212*K212)</f>
        <v/>
      </c>
      <c r="M212" s="21" t="str">
        <f aca="false">IF(B212="","",IFERROR(INDEX(Propriétaires!$E$4:$E$13,MATCH(B212,Propriétaires!$A$4:$A$13,0)),0.2))</f>
        <v/>
      </c>
      <c r="N212" s="20" t="str">
        <f aca="false">IF(J212="","",(J212-L212)*M212)</f>
        <v/>
      </c>
      <c r="O212" s="20" t="str">
        <f aca="false">IF(J212="","",J212-L212-N212)</f>
        <v/>
      </c>
      <c r="P212" s="16"/>
      <c r="Q212" s="16"/>
      <c r="R212" s="16"/>
      <c r="S212" s="16"/>
      <c r="T212" s="14" t="str">
        <f aca="false">IF(F212="","",MONTH(F212))</f>
        <v/>
      </c>
      <c r="U212" s="14" t="str">
        <f aca="false">IF(F212="","",YEAR(F212))</f>
        <v/>
      </c>
    </row>
    <row r="213" customFormat="false" ht="15" hidden="false" customHeight="false" outlineLevel="0" collapsed="false">
      <c r="A213" s="16"/>
      <c r="B213" s="16"/>
      <c r="C213" s="16"/>
      <c r="D213" s="16"/>
      <c r="E213" s="16"/>
      <c r="F213" s="17"/>
      <c r="G213" s="17"/>
      <c r="H213" s="18" t="str">
        <f aca="false">IF(OR(F213="",G213=""),"",G213-F213)</f>
        <v/>
      </c>
      <c r="I213" s="19"/>
      <c r="J213" s="20" t="str">
        <f aca="false">IF(OR(H213="",I213=""),"",H213*I213)</f>
        <v/>
      </c>
      <c r="K213" s="21" t="str">
        <f aca="false">IF(C213="","",IFERROR(INDEX(Paramètres!$E$9:$E$11,MATCH(C213,Paramètres!$D$9:$D$11,0)),0))</f>
        <v/>
      </c>
      <c r="L213" s="20" t="str">
        <f aca="false">IF(J213="","",J213*K213)</f>
        <v/>
      </c>
      <c r="M213" s="21" t="str">
        <f aca="false">IF(B213="","",IFERROR(INDEX(Propriétaires!$E$4:$E$13,MATCH(B213,Propriétaires!$A$4:$A$13,0)),0.2))</f>
        <v/>
      </c>
      <c r="N213" s="20" t="str">
        <f aca="false">IF(J213="","",(J213-L213)*M213)</f>
        <v/>
      </c>
      <c r="O213" s="20" t="str">
        <f aca="false">IF(J213="","",J213-L213-N213)</f>
        <v/>
      </c>
      <c r="P213" s="16"/>
      <c r="Q213" s="16"/>
      <c r="R213" s="16"/>
      <c r="S213" s="16"/>
      <c r="T213" s="14" t="str">
        <f aca="false">IF(F213="","",MONTH(F213))</f>
        <v/>
      </c>
      <c r="U213" s="14" t="str">
        <f aca="false">IF(F213="","",YEAR(F213))</f>
        <v/>
      </c>
    </row>
    <row r="214" customFormat="false" ht="15" hidden="false" customHeight="false" outlineLevel="0" collapsed="false">
      <c r="A214" s="16"/>
      <c r="B214" s="16"/>
      <c r="C214" s="16"/>
      <c r="D214" s="16"/>
      <c r="E214" s="16"/>
      <c r="F214" s="17"/>
      <c r="G214" s="17"/>
      <c r="H214" s="18" t="str">
        <f aca="false">IF(OR(F214="",G214=""),"",G214-F214)</f>
        <v/>
      </c>
      <c r="I214" s="19"/>
      <c r="J214" s="20" t="str">
        <f aca="false">IF(OR(H214="",I214=""),"",H214*I214)</f>
        <v/>
      </c>
      <c r="K214" s="21" t="str">
        <f aca="false">IF(C214="","",IFERROR(INDEX(Paramètres!$E$9:$E$11,MATCH(C214,Paramètres!$D$9:$D$11,0)),0))</f>
        <v/>
      </c>
      <c r="L214" s="20" t="str">
        <f aca="false">IF(J214="","",J214*K214)</f>
        <v/>
      </c>
      <c r="M214" s="21" t="str">
        <f aca="false">IF(B214="","",IFERROR(INDEX(Propriétaires!$E$4:$E$13,MATCH(B214,Propriétaires!$A$4:$A$13,0)),0.2))</f>
        <v/>
      </c>
      <c r="N214" s="20" t="str">
        <f aca="false">IF(J214="","",(J214-L214)*M214)</f>
        <v/>
      </c>
      <c r="O214" s="20" t="str">
        <f aca="false">IF(J214="","",J214-L214-N214)</f>
        <v/>
      </c>
      <c r="P214" s="16"/>
      <c r="Q214" s="16"/>
      <c r="R214" s="16"/>
      <c r="S214" s="16"/>
      <c r="T214" s="14" t="str">
        <f aca="false">IF(F214="","",MONTH(F214))</f>
        <v/>
      </c>
      <c r="U214" s="14" t="str">
        <f aca="false">IF(F214="","",YEAR(F214))</f>
        <v/>
      </c>
    </row>
    <row r="215" customFormat="false" ht="15" hidden="false" customHeight="false" outlineLevel="0" collapsed="false">
      <c r="A215" s="16"/>
      <c r="B215" s="16"/>
      <c r="C215" s="16"/>
      <c r="D215" s="16"/>
      <c r="E215" s="16"/>
      <c r="F215" s="17"/>
      <c r="G215" s="17"/>
      <c r="H215" s="18" t="str">
        <f aca="false">IF(OR(F215="",G215=""),"",G215-F215)</f>
        <v/>
      </c>
      <c r="I215" s="19"/>
      <c r="J215" s="20" t="str">
        <f aca="false">IF(OR(H215="",I215=""),"",H215*I215)</f>
        <v/>
      </c>
      <c r="K215" s="21" t="str">
        <f aca="false">IF(C215="","",IFERROR(INDEX(Paramètres!$E$9:$E$11,MATCH(C215,Paramètres!$D$9:$D$11,0)),0))</f>
        <v/>
      </c>
      <c r="L215" s="20" t="str">
        <f aca="false">IF(J215="","",J215*K215)</f>
        <v/>
      </c>
      <c r="M215" s="21" t="str">
        <f aca="false">IF(B215="","",IFERROR(INDEX(Propriétaires!$E$4:$E$13,MATCH(B215,Propriétaires!$A$4:$A$13,0)),0.2))</f>
        <v/>
      </c>
      <c r="N215" s="20" t="str">
        <f aca="false">IF(J215="","",(J215-L215)*M215)</f>
        <v/>
      </c>
      <c r="O215" s="20" t="str">
        <f aca="false">IF(J215="","",J215-L215-N215)</f>
        <v/>
      </c>
      <c r="P215" s="16"/>
      <c r="Q215" s="16"/>
      <c r="R215" s="16"/>
      <c r="S215" s="16"/>
      <c r="T215" s="14" t="str">
        <f aca="false">IF(F215="","",MONTH(F215))</f>
        <v/>
      </c>
      <c r="U215" s="14" t="str">
        <f aca="false">IF(F215="","",YEAR(F215))</f>
        <v/>
      </c>
    </row>
    <row r="216" customFormat="false" ht="15" hidden="false" customHeight="false" outlineLevel="0" collapsed="false">
      <c r="A216" s="16"/>
      <c r="B216" s="16"/>
      <c r="C216" s="16"/>
      <c r="D216" s="16"/>
      <c r="E216" s="16"/>
      <c r="F216" s="17"/>
      <c r="G216" s="17"/>
      <c r="H216" s="18" t="str">
        <f aca="false">IF(OR(F216="",G216=""),"",G216-F216)</f>
        <v/>
      </c>
      <c r="I216" s="19"/>
      <c r="J216" s="20" t="str">
        <f aca="false">IF(OR(H216="",I216=""),"",H216*I216)</f>
        <v/>
      </c>
      <c r="K216" s="21" t="str">
        <f aca="false">IF(C216="","",IFERROR(INDEX(Paramètres!$E$9:$E$11,MATCH(C216,Paramètres!$D$9:$D$11,0)),0))</f>
        <v/>
      </c>
      <c r="L216" s="20" t="str">
        <f aca="false">IF(J216="","",J216*K216)</f>
        <v/>
      </c>
      <c r="M216" s="21" t="str">
        <f aca="false">IF(B216="","",IFERROR(INDEX(Propriétaires!$E$4:$E$13,MATCH(B216,Propriétaires!$A$4:$A$13,0)),0.2))</f>
        <v/>
      </c>
      <c r="N216" s="20" t="str">
        <f aca="false">IF(J216="","",(J216-L216)*M216)</f>
        <v/>
      </c>
      <c r="O216" s="20" t="str">
        <f aca="false">IF(J216="","",J216-L216-N216)</f>
        <v/>
      </c>
      <c r="P216" s="16"/>
      <c r="Q216" s="16"/>
      <c r="R216" s="16"/>
      <c r="S216" s="16"/>
      <c r="T216" s="14" t="str">
        <f aca="false">IF(F216="","",MONTH(F216))</f>
        <v/>
      </c>
      <c r="U216" s="14" t="str">
        <f aca="false">IF(F216="","",YEAR(F216))</f>
        <v/>
      </c>
    </row>
    <row r="217" customFormat="false" ht="15" hidden="false" customHeight="false" outlineLevel="0" collapsed="false">
      <c r="A217" s="16"/>
      <c r="B217" s="16"/>
      <c r="C217" s="16"/>
      <c r="D217" s="16"/>
      <c r="E217" s="16"/>
      <c r="F217" s="17"/>
      <c r="G217" s="17"/>
      <c r="H217" s="18" t="str">
        <f aca="false">IF(OR(F217="",G217=""),"",G217-F217)</f>
        <v/>
      </c>
      <c r="I217" s="19"/>
      <c r="J217" s="20" t="str">
        <f aca="false">IF(OR(H217="",I217=""),"",H217*I217)</f>
        <v/>
      </c>
      <c r="K217" s="21" t="str">
        <f aca="false">IF(C217="","",IFERROR(INDEX(Paramètres!$E$9:$E$11,MATCH(C217,Paramètres!$D$9:$D$11,0)),0))</f>
        <v/>
      </c>
      <c r="L217" s="20" t="str">
        <f aca="false">IF(J217="","",J217*K217)</f>
        <v/>
      </c>
      <c r="M217" s="21" t="str">
        <f aca="false">IF(B217="","",IFERROR(INDEX(Propriétaires!$E$4:$E$13,MATCH(B217,Propriétaires!$A$4:$A$13,0)),0.2))</f>
        <v/>
      </c>
      <c r="N217" s="20" t="str">
        <f aca="false">IF(J217="","",(J217-L217)*M217)</f>
        <v/>
      </c>
      <c r="O217" s="20" t="str">
        <f aca="false">IF(J217="","",J217-L217-N217)</f>
        <v/>
      </c>
      <c r="P217" s="16"/>
      <c r="Q217" s="16"/>
      <c r="R217" s="16"/>
      <c r="S217" s="16"/>
      <c r="T217" s="14" t="str">
        <f aca="false">IF(F217="","",MONTH(F217))</f>
        <v/>
      </c>
      <c r="U217" s="14" t="str">
        <f aca="false">IF(F217="","",YEAR(F217))</f>
        <v/>
      </c>
    </row>
    <row r="218" customFormat="false" ht="15" hidden="false" customHeight="false" outlineLevel="0" collapsed="false">
      <c r="A218" s="16"/>
      <c r="B218" s="16"/>
      <c r="C218" s="16"/>
      <c r="D218" s="16"/>
      <c r="E218" s="16"/>
      <c r="F218" s="17"/>
      <c r="G218" s="17"/>
      <c r="H218" s="18" t="str">
        <f aca="false">IF(OR(F218="",G218=""),"",G218-F218)</f>
        <v/>
      </c>
      <c r="I218" s="19"/>
      <c r="J218" s="20" t="str">
        <f aca="false">IF(OR(H218="",I218=""),"",H218*I218)</f>
        <v/>
      </c>
      <c r="K218" s="21" t="str">
        <f aca="false">IF(C218="","",IFERROR(INDEX(Paramètres!$E$9:$E$11,MATCH(C218,Paramètres!$D$9:$D$11,0)),0))</f>
        <v/>
      </c>
      <c r="L218" s="20" t="str">
        <f aca="false">IF(J218="","",J218*K218)</f>
        <v/>
      </c>
      <c r="M218" s="21" t="str">
        <f aca="false">IF(B218="","",IFERROR(INDEX(Propriétaires!$E$4:$E$13,MATCH(B218,Propriétaires!$A$4:$A$13,0)),0.2))</f>
        <v/>
      </c>
      <c r="N218" s="20" t="str">
        <f aca="false">IF(J218="","",(J218-L218)*M218)</f>
        <v/>
      </c>
      <c r="O218" s="20" t="str">
        <f aca="false">IF(J218="","",J218-L218-N218)</f>
        <v/>
      </c>
      <c r="P218" s="16"/>
      <c r="Q218" s="16"/>
      <c r="R218" s="16"/>
      <c r="S218" s="16"/>
      <c r="T218" s="14" t="str">
        <f aca="false">IF(F218="","",MONTH(F218))</f>
        <v/>
      </c>
      <c r="U218" s="14" t="str">
        <f aca="false">IF(F218="","",YEAR(F218))</f>
        <v/>
      </c>
    </row>
    <row r="219" customFormat="false" ht="15" hidden="false" customHeight="false" outlineLevel="0" collapsed="false">
      <c r="A219" s="16"/>
      <c r="B219" s="16"/>
      <c r="C219" s="16"/>
      <c r="D219" s="16"/>
      <c r="E219" s="16"/>
      <c r="F219" s="17"/>
      <c r="G219" s="17"/>
      <c r="H219" s="18" t="str">
        <f aca="false">IF(OR(F219="",G219=""),"",G219-F219)</f>
        <v/>
      </c>
      <c r="I219" s="19"/>
      <c r="J219" s="20" t="str">
        <f aca="false">IF(OR(H219="",I219=""),"",H219*I219)</f>
        <v/>
      </c>
      <c r="K219" s="21" t="str">
        <f aca="false">IF(C219="","",IFERROR(INDEX(Paramètres!$E$9:$E$11,MATCH(C219,Paramètres!$D$9:$D$11,0)),0))</f>
        <v/>
      </c>
      <c r="L219" s="20" t="str">
        <f aca="false">IF(J219="","",J219*K219)</f>
        <v/>
      </c>
      <c r="M219" s="21" t="str">
        <f aca="false">IF(B219="","",IFERROR(INDEX(Propriétaires!$E$4:$E$13,MATCH(B219,Propriétaires!$A$4:$A$13,0)),0.2))</f>
        <v/>
      </c>
      <c r="N219" s="20" t="str">
        <f aca="false">IF(J219="","",(J219-L219)*M219)</f>
        <v/>
      </c>
      <c r="O219" s="20" t="str">
        <f aca="false">IF(J219="","",J219-L219-N219)</f>
        <v/>
      </c>
      <c r="P219" s="16"/>
      <c r="Q219" s="16"/>
      <c r="R219" s="16"/>
      <c r="S219" s="16"/>
      <c r="T219" s="14" t="str">
        <f aca="false">IF(F219="","",MONTH(F219))</f>
        <v/>
      </c>
      <c r="U219" s="14" t="str">
        <f aca="false">IF(F219="","",YEAR(F219))</f>
        <v/>
      </c>
    </row>
    <row r="220" customFormat="false" ht="15" hidden="false" customHeight="false" outlineLevel="0" collapsed="false">
      <c r="A220" s="16"/>
      <c r="B220" s="16"/>
      <c r="C220" s="16"/>
      <c r="D220" s="16"/>
      <c r="E220" s="16"/>
      <c r="F220" s="17"/>
      <c r="G220" s="17"/>
      <c r="H220" s="18" t="str">
        <f aca="false">IF(OR(F220="",G220=""),"",G220-F220)</f>
        <v/>
      </c>
      <c r="I220" s="19"/>
      <c r="J220" s="20" t="str">
        <f aca="false">IF(OR(H220="",I220=""),"",H220*I220)</f>
        <v/>
      </c>
      <c r="K220" s="21" t="str">
        <f aca="false">IF(C220="","",IFERROR(INDEX(Paramètres!$E$9:$E$11,MATCH(C220,Paramètres!$D$9:$D$11,0)),0))</f>
        <v/>
      </c>
      <c r="L220" s="20" t="str">
        <f aca="false">IF(J220="","",J220*K220)</f>
        <v/>
      </c>
      <c r="M220" s="21" t="str">
        <f aca="false">IF(B220="","",IFERROR(INDEX(Propriétaires!$E$4:$E$13,MATCH(B220,Propriétaires!$A$4:$A$13,0)),0.2))</f>
        <v/>
      </c>
      <c r="N220" s="20" t="str">
        <f aca="false">IF(J220="","",(J220-L220)*M220)</f>
        <v/>
      </c>
      <c r="O220" s="20" t="str">
        <f aca="false">IF(J220="","",J220-L220-N220)</f>
        <v/>
      </c>
      <c r="P220" s="16"/>
      <c r="Q220" s="16"/>
      <c r="R220" s="16"/>
      <c r="S220" s="16"/>
      <c r="T220" s="14" t="str">
        <f aca="false">IF(F220="","",MONTH(F220))</f>
        <v/>
      </c>
      <c r="U220" s="14" t="str">
        <f aca="false">IF(F220="","",YEAR(F220))</f>
        <v/>
      </c>
    </row>
    <row r="221" customFormat="false" ht="15" hidden="false" customHeight="false" outlineLevel="0" collapsed="false">
      <c r="A221" s="16"/>
      <c r="B221" s="16"/>
      <c r="C221" s="16"/>
      <c r="D221" s="16"/>
      <c r="E221" s="16"/>
      <c r="F221" s="17"/>
      <c r="G221" s="17"/>
      <c r="H221" s="18" t="str">
        <f aca="false">IF(OR(F221="",G221=""),"",G221-F221)</f>
        <v/>
      </c>
      <c r="I221" s="19"/>
      <c r="J221" s="20" t="str">
        <f aca="false">IF(OR(H221="",I221=""),"",H221*I221)</f>
        <v/>
      </c>
      <c r="K221" s="21" t="str">
        <f aca="false">IF(C221="","",IFERROR(INDEX(Paramètres!$E$9:$E$11,MATCH(C221,Paramètres!$D$9:$D$11,0)),0))</f>
        <v/>
      </c>
      <c r="L221" s="20" t="str">
        <f aca="false">IF(J221="","",J221*K221)</f>
        <v/>
      </c>
      <c r="M221" s="21" t="str">
        <f aca="false">IF(B221="","",IFERROR(INDEX(Propriétaires!$E$4:$E$13,MATCH(B221,Propriétaires!$A$4:$A$13,0)),0.2))</f>
        <v/>
      </c>
      <c r="N221" s="20" t="str">
        <f aca="false">IF(J221="","",(J221-L221)*M221)</f>
        <v/>
      </c>
      <c r="O221" s="20" t="str">
        <f aca="false">IF(J221="","",J221-L221-N221)</f>
        <v/>
      </c>
      <c r="P221" s="16"/>
      <c r="Q221" s="16"/>
      <c r="R221" s="16"/>
      <c r="S221" s="16"/>
      <c r="T221" s="14" t="str">
        <f aca="false">IF(F221="","",MONTH(F221))</f>
        <v/>
      </c>
      <c r="U221" s="14" t="str">
        <f aca="false">IF(F221="","",YEAR(F221))</f>
        <v/>
      </c>
    </row>
    <row r="222" customFormat="false" ht="15" hidden="false" customHeight="false" outlineLevel="0" collapsed="false">
      <c r="A222" s="16"/>
      <c r="B222" s="16"/>
      <c r="C222" s="16"/>
      <c r="D222" s="16"/>
      <c r="E222" s="16"/>
      <c r="F222" s="17"/>
      <c r="G222" s="17"/>
      <c r="H222" s="18" t="str">
        <f aca="false">IF(OR(F222="",G222=""),"",G222-F222)</f>
        <v/>
      </c>
      <c r="I222" s="19"/>
      <c r="J222" s="20" t="str">
        <f aca="false">IF(OR(H222="",I222=""),"",H222*I222)</f>
        <v/>
      </c>
      <c r="K222" s="21" t="str">
        <f aca="false">IF(C222="","",IFERROR(INDEX(Paramètres!$E$9:$E$11,MATCH(C222,Paramètres!$D$9:$D$11,0)),0))</f>
        <v/>
      </c>
      <c r="L222" s="20" t="str">
        <f aca="false">IF(J222="","",J222*K222)</f>
        <v/>
      </c>
      <c r="M222" s="21" t="str">
        <f aca="false">IF(B222="","",IFERROR(INDEX(Propriétaires!$E$4:$E$13,MATCH(B222,Propriétaires!$A$4:$A$13,0)),0.2))</f>
        <v/>
      </c>
      <c r="N222" s="20" t="str">
        <f aca="false">IF(J222="","",(J222-L222)*M222)</f>
        <v/>
      </c>
      <c r="O222" s="20" t="str">
        <f aca="false">IF(J222="","",J222-L222-N222)</f>
        <v/>
      </c>
      <c r="P222" s="16"/>
      <c r="Q222" s="16"/>
      <c r="R222" s="16"/>
      <c r="S222" s="16"/>
      <c r="T222" s="14" t="str">
        <f aca="false">IF(F222="","",MONTH(F222))</f>
        <v/>
      </c>
      <c r="U222" s="14" t="str">
        <f aca="false">IF(F222="","",YEAR(F222))</f>
        <v/>
      </c>
    </row>
    <row r="223" customFormat="false" ht="15" hidden="false" customHeight="false" outlineLevel="0" collapsed="false">
      <c r="A223" s="16"/>
      <c r="B223" s="16"/>
      <c r="C223" s="16"/>
      <c r="D223" s="16"/>
      <c r="E223" s="16"/>
      <c r="F223" s="17"/>
      <c r="G223" s="17"/>
      <c r="H223" s="18" t="str">
        <f aca="false">IF(OR(F223="",G223=""),"",G223-F223)</f>
        <v/>
      </c>
      <c r="I223" s="19"/>
      <c r="J223" s="20" t="str">
        <f aca="false">IF(OR(H223="",I223=""),"",H223*I223)</f>
        <v/>
      </c>
      <c r="K223" s="21" t="str">
        <f aca="false">IF(C223="","",IFERROR(INDEX(Paramètres!$E$9:$E$11,MATCH(C223,Paramètres!$D$9:$D$11,0)),0))</f>
        <v/>
      </c>
      <c r="L223" s="20" t="str">
        <f aca="false">IF(J223="","",J223*K223)</f>
        <v/>
      </c>
      <c r="M223" s="21" t="str">
        <f aca="false">IF(B223="","",IFERROR(INDEX(Propriétaires!$E$4:$E$13,MATCH(B223,Propriétaires!$A$4:$A$13,0)),0.2))</f>
        <v/>
      </c>
      <c r="N223" s="20" t="str">
        <f aca="false">IF(J223="","",(J223-L223)*M223)</f>
        <v/>
      </c>
      <c r="O223" s="20" t="str">
        <f aca="false">IF(J223="","",J223-L223-N223)</f>
        <v/>
      </c>
      <c r="P223" s="16"/>
      <c r="Q223" s="16"/>
      <c r="R223" s="16"/>
      <c r="S223" s="16"/>
      <c r="T223" s="14" t="str">
        <f aca="false">IF(F223="","",MONTH(F223))</f>
        <v/>
      </c>
      <c r="U223" s="14" t="str">
        <f aca="false">IF(F223="","",YEAR(F223))</f>
        <v/>
      </c>
    </row>
    <row r="224" customFormat="false" ht="15" hidden="false" customHeight="false" outlineLevel="0" collapsed="false">
      <c r="A224" s="16"/>
      <c r="B224" s="16"/>
      <c r="C224" s="16"/>
      <c r="D224" s="16"/>
      <c r="E224" s="16"/>
      <c r="F224" s="17"/>
      <c r="G224" s="17"/>
      <c r="H224" s="18" t="str">
        <f aca="false">IF(OR(F224="",G224=""),"",G224-F224)</f>
        <v/>
      </c>
      <c r="I224" s="19"/>
      <c r="J224" s="20" t="str">
        <f aca="false">IF(OR(H224="",I224=""),"",H224*I224)</f>
        <v/>
      </c>
      <c r="K224" s="21" t="str">
        <f aca="false">IF(C224="","",IFERROR(INDEX(Paramètres!$E$9:$E$11,MATCH(C224,Paramètres!$D$9:$D$11,0)),0))</f>
        <v/>
      </c>
      <c r="L224" s="20" t="str">
        <f aca="false">IF(J224="","",J224*K224)</f>
        <v/>
      </c>
      <c r="M224" s="21" t="str">
        <f aca="false">IF(B224="","",IFERROR(INDEX(Propriétaires!$E$4:$E$13,MATCH(B224,Propriétaires!$A$4:$A$13,0)),0.2))</f>
        <v/>
      </c>
      <c r="N224" s="20" t="str">
        <f aca="false">IF(J224="","",(J224-L224)*M224)</f>
        <v/>
      </c>
      <c r="O224" s="20" t="str">
        <f aca="false">IF(J224="","",J224-L224-N224)</f>
        <v/>
      </c>
      <c r="P224" s="16"/>
      <c r="Q224" s="16"/>
      <c r="R224" s="16"/>
      <c r="S224" s="16"/>
      <c r="T224" s="14" t="str">
        <f aca="false">IF(F224="","",MONTH(F224))</f>
        <v/>
      </c>
      <c r="U224" s="14" t="str">
        <f aca="false">IF(F224="","",YEAR(F224))</f>
        <v/>
      </c>
    </row>
    <row r="225" customFormat="false" ht="15" hidden="false" customHeight="false" outlineLevel="0" collapsed="false">
      <c r="A225" s="16"/>
      <c r="B225" s="16"/>
      <c r="C225" s="16"/>
      <c r="D225" s="16"/>
      <c r="E225" s="16"/>
      <c r="F225" s="17"/>
      <c r="G225" s="17"/>
      <c r="H225" s="18" t="str">
        <f aca="false">IF(OR(F225="",G225=""),"",G225-F225)</f>
        <v/>
      </c>
      <c r="I225" s="19"/>
      <c r="J225" s="20" t="str">
        <f aca="false">IF(OR(H225="",I225=""),"",H225*I225)</f>
        <v/>
      </c>
      <c r="K225" s="21" t="str">
        <f aca="false">IF(C225="","",IFERROR(INDEX(Paramètres!$E$9:$E$11,MATCH(C225,Paramètres!$D$9:$D$11,0)),0))</f>
        <v/>
      </c>
      <c r="L225" s="20" t="str">
        <f aca="false">IF(J225="","",J225*K225)</f>
        <v/>
      </c>
      <c r="M225" s="21" t="str">
        <f aca="false">IF(B225="","",IFERROR(INDEX(Propriétaires!$E$4:$E$13,MATCH(B225,Propriétaires!$A$4:$A$13,0)),0.2))</f>
        <v/>
      </c>
      <c r="N225" s="20" t="str">
        <f aca="false">IF(J225="","",(J225-L225)*M225)</f>
        <v/>
      </c>
      <c r="O225" s="20" t="str">
        <f aca="false">IF(J225="","",J225-L225-N225)</f>
        <v/>
      </c>
      <c r="P225" s="16"/>
      <c r="Q225" s="16"/>
      <c r="R225" s="16"/>
      <c r="S225" s="16"/>
      <c r="T225" s="14" t="str">
        <f aca="false">IF(F225="","",MONTH(F225))</f>
        <v/>
      </c>
      <c r="U225" s="14" t="str">
        <f aca="false">IF(F225="","",YEAR(F225))</f>
        <v/>
      </c>
    </row>
    <row r="226" customFormat="false" ht="15" hidden="false" customHeight="false" outlineLevel="0" collapsed="false">
      <c r="A226" s="16"/>
      <c r="B226" s="16"/>
      <c r="C226" s="16"/>
      <c r="D226" s="16"/>
      <c r="E226" s="16"/>
      <c r="F226" s="17"/>
      <c r="G226" s="17"/>
      <c r="H226" s="18" t="str">
        <f aca="false">IF(OR(F226="",G226=""),"",G226-F226)</f>
        <v/>
      </c>
      <c r="I226" s="19"/>
      <c r="J226" s="20" t="str">
        <f aca="false">IF(OR(H226="",I226=""),"",H226*I226)</f>
        <v/>
      </c>
      <c r="K226" s="21" t="str">
        <f aca="false">IF(C226="","",IFERROR(INDEX(Paramètres!$E$9:$E$11,MATCH(C226,Paramètres!$D$9:$D$11,0)),0))</f>
        <v/>
      </c>
      <c r="L226" s="20" t="str">
        <f aca="false">IF(J226="","",J226*K226)</f>
        <v/>
      </c>
      <c r="M226" s="21" t="str">
        <f aca="false">IF(B226="","",IFERROR(INDEX(Propriétaires!$E$4:$E$13,MATCH(B226,Propriétaires!$A$4:$A$13,0)),0.2))</f>
        <v/>
      </c>
      <c r="N226" s="20" t="str">
        <f aca="false">IF(J226="","",(J226-L226)*M226)</f>
        <v/>
      </c>
      <c r="O226" s="20" t="str">
        <f aca="false">IF(J226="","",J226-L226-N226)</f>
        <v/>
      </c>
      <c r="P226" s="16"/>
      <c r="Q226" s="16"/>
      <c r="R226" s="16"/>
      <c r="S226" s="16"/>
      <c r="T226" s="14" t="str">
        <f aca="false">IF(F226="","",MONTH(F226))</f>
        <v/>
      </c>
      <c r="U226" s="14" t="str">
        <f aca="false">IF(F226="","",YEAR(F226))</f>
        <v/>
      </c>
    </row>
    <row r="227" customFormat="false" ht="15" hidden="false" customHeight="false" outlineLevel="0" collapsed="false">
      <c r="A227" s="16"/>
      <c r="B227" s="16"/>
      <c r="C227" s="16"/>
      <c r="D227" s="16"/>
      <c r="E227" s="16"/>
      <c r="F227" s="17"/>
      <c r="G227" s="17"/>
      <c r="H227" s="18" t="str">
        <f aca="false">IF(OR(F227="",G227=""),"",G227-F227)</f>
        <v/>
      </c>
      <c r="I227" s="19"/>
      <c r="J227" s="20" t="str">
        <f aca="false">IF(OR(H227="",I227=""),"",H227*I227)</f>
        <v/>
      </c>
      <c r="K227" s="21" t="str">
        <f aca="false">IF(C227="","",IFERROR(INDEX(Paramètres!$E$9:$E$11,MATCH(C227,Paramètres!$D$9:$D$11,0)),0))</f>
        <v/>
      </c>
      <c r="L227" s="20" t="str">
        <f aca="false">IF(J227="","",J227*K227)</f>
        <v/>
      </c>
      <c r="M227" s="21" t="str">
        <f aca="false">IF(B227="","",IFERROR(INDEX(Propriétaires!$E$4:$E$13,MATCH(B227,Propriétaires!$A$4:$A$13,0)),0.2))</f>
        <v/>
      </c>
      <c r="N227" s="20" t="str">
        <f aca="false">IF(J227="","",(J227-L227)*M227)</f>
        <v/>
      </c>
      <c r="O227" s="20" t="str">
        <f aca="false">IF(J227="","",J227-L227-N227)</f>
        <v/>
      </c>
      <c r="P227" s="16"/>
      <c r="Q227" s="16"/>
      <c r="R227" s="16"/>
      <c r="S227" s="16"/>
      <c r="T227" s="14" t="str">
        <f aca="false">IF(F227="","",MONTH(F227))</f>
        <v/>
      </c>
      <c r="U227" s="14" t="str">
        <f aca="false">IF(F227="","",YEAR(F227))</f>
        <v/>
      </c>
    </row>
    <row r="228" customFormat="false" ht="15" hidden="false" customHeight="false" outlineLevel="0" collapsed="false">
      <c r="A228" s="16"/>
      <c r="B228" s="16"/>
      <c r="C228" s="16"/>
      <c r="D228" s="16"/>
      <c r="E228" s="16"/>
      <c r="F228" s="17"/>
      <c r="G228" s="17"/>
      <c r="H228" s="18" t="str">
        <f aca="false">IF(OR(F228="",G228=""),"",G228-F228)</f>
        <v/>
      </c>
      <c r="I228" s="19"/>
      <c r="J228" s="20" t="str">
        <f aca="false">IF(OR(H228="",I228=""),"",H228*I228)</f>
        <v/>
      </c>
      <c r="K228" s="21" t="str">
        <f aca="false">IF(C228="","",IFERROR(INDEX(Paramètres!$E$9:$E$11,MATCH(C228,Paramètres!$D$9:$D$11,0)),0))</f>
        <v/>
      </c>
      <c r="L228" s="20" t="str">
        <f aca="false">IF(J228="","",J228*K228)</f>
        <v/>
      </c>
      <c r="M228" s="21" t="str">
        <f aca="false">IF(B228="","",IFERROR(INDEX(Propriétaires!$E$4:$E$13,MATCH(B228,Propriétaires!$A$4:$A$13,0)),0.2))</f>
        <v/>
      </c>
      <c r="N228" s="20" t="str">
        <f aca="false">IF(J228="","",(J228-L228)*M228)</f>
        <v/>
      </c>
      <c r="O228" s="20" t="str">
        <f aca="false">IF(J228="","",J228-L228-N228)</f>
        <v/>
      </c>
      <c r="P228" s="16"/>
      <c r="Q228" s="16"/>
      <c r="R228" s="16"/>
      <c r="S228" s="16"/>
      <c r="T228" s="14" t="str">
        <f aca="false">IF(F228="","",MONTH(F228))</f>
        <v/>
      </c>
      <c r="U228" s="14" t="str">
        <f aca="false">IF(F228="","",YEAR(F228))</f>
        <v/>
      </c>
    </row>
    <row r="229" customFormat="false" ht="15" hidden="false" customHeight="false" outlineLevel="0" collapsed="false">
      <c r="A229" s="16"/>
      <c r="B229" s="16"/>
      <c r="C229" s="16"/>
      <c r="D229" s="16"/>
      <c r="E229" s="16"/>
      <c r="F229" s="17"/>
      <c r="G229" s="17"/>
      <c r="H229" s="18" t="str">
        <f aca="false">IF(OR(F229="",G229=""),"",G229-F229)</f>
        <v/>
      </c>
      <c r="I229" s="19"/>
      <c r="J229" s="20" t="str">
        <f aca="false">IF(OR(H229="",I229=""),"",H229*I229)</f>
        <v/>
      </c>
      <c r="K229" s="21" t="str">
        <f aca="false">IF(C229="","",IFERROR(INDEX(Paramètres!$E$9:$E$11,MATCH(C229,Paramètres!$D$9:$D$11,0)),0))</f>
        <v/>
      </c>
      <c r="L229" s="20" t="str">
        <f aca="false">IF(J229="","",J229*K229)</f>
        <v/>
      </c>
      <c r="M229" s="21" t="str">
        <f aca="false">IF(B229="","",IFERROR(INDEX(Propriétaires!$E$4:$E$13,MATCH(B229,Propriétaires!$A$4:$A$13,0)),0.2))</f>
        <v/>
      </c>
      <c r="N229" s="20" t="str">
        <f aca="false">IF(J229="","",(J229-L229)*M229)</f>
        <v/>
      </c>
      <c r="O229" s="20" t="str">
        <f aca="false">IF(J229="","",J229-L229-N229)</f>
        <v/>
      </c>
      <c r="P229" s="16"/>
      <c r="Q229" s="16"/>
      <c r="R229" s="16"/>
      <c r="S229" s="16"/>
      <c r="T229" s="14" t="str">
        <f aca="false">IF(F229="","",MONTH(F229))</f>
        <v/>
      </c>
      <c r="U229" s="14" t="str">
        <f aca="false">IF(F229="","",YEAR(F229))</f>
        <v/>
      </c>
    </row>
    <row r="230" customFormat="false" ht="15" hidden="false" customHeight="false" outlineLevel="0" collapsed="false">
      <c r="A230" s="16"/>
      <c r="B230" s="16"/>
      <c r="C230" s="16"/>
      <c r="D230" s="16"/>
      <c r="E230" s="16"/>
      <c r="F230" s="17"/>
      <c r="G230" s="17"/>
      <c r="H230" s="18" t="str">
        <f aca="false">IF(OR(F230="",G230=""),"",G230-F230)</f>
        <v/>
      </c>
      <c r="I230" s="19"/>
      <c r="J230" s="20" t="str">
        <f aca="false">IF(OR(H230="",I230=""),"",H230*I230)</f>
        <v/>
      </c>
      <c r="K230" s="21" t="str">
        <f aca="false">IF(C230="","",IFERROR(INDEX(Paramètres!$E$9:$E$11,MATCH(C230,Paramètres!$D$9:$D$11,0)),0))</f>
        <v/>
      </c>
      <c r="L230" s="20" t="str">
        <f aca="false">IF(J230="","",J230*K230)</f>
        <v/>
      </c>
      <c r="M230" s="21" t="str">
        <f aca="false">IF(B230="","",IFERROR(INDEX(Propriétaires!$E$4:$E$13,MATCH(B230,Propriétaires!$A$4:$A$13,0)),0.2))</f>
        <v/>
      </c>
      <c r="N230" s="20" t="str">
        <f aca="false">IF(J230="","",(J230-L230)*M230)</f>
        <v/>
      </c>
      <c r="O230" s="20" t="str">
        <f aca="false">IF(J230="","",J230-L230-N230)</f>
        <v/>
      </c>
      <c r="P230" s="16"/>
      <c r="Q230" s="16"/>
      <c r="R230" s="16"/>
      <c r="S230" s="16"/>
      <c r="T230" s="14" t="str">
        <f aca="false">IF(F230="","",MONTH(F230))</f>
        <v/>
      </c>
      <c r="U230" s="14" t="str">
        <f aca="false">IF(F230="","",YEAR(F230))</f>
        <v/>
      </c>
    </row>
    <row r="231" customFormat="false" ht="15" hidden="false" customHeight="false" outlineLevel="0" collapsed="false">
      <c r="A231" s="16"/>
      <c r="B231" s="16"/>
      <c r="C231" s="16"/>
      <c r="D231" s="16"/>
      <c r="E231" s="16"/>
      <c r="F231" s="17"/>
      <c r="G231" s="17"/>
      <c r="H231" s="18" t="str">
        <f aca="false">IF(OR(F231="",G231=""),"",G231-F231)</f>
        <v/>
      </c>
      <c r="I231" s="19"/>
      <c r="J231" s="20" t="str">
        <f aca="false">IF(OR(H231="",I231=""),"",H231*I231)</f>
        <v/>
      </c>
      <c r="K231" s="21" t="str">
        <f aca="false">IF(C231="","",IFERROR(INDEX(Paramètres!$E$9:$E$11,MATCH(C231,Paramètres!$D$9:$D$11,0)),0))</f>
        <v/>
      </c>
      <c r="L231" s="20" t="str">
        <f aca="false">IF(J231="","",J231*K231)</f>
        <v/>
      </c>
      <c r="M231" s="21" t="str">
        <f aca="false">IF(B231="","",IFERROR(INDEX(Propriétaires!$E$4:$E$13,MATCH(B231,Propriétaires!$A$4:$A$13,0)),0.2))</f>
        <v/>
      </c>
      <c r="N231" s="20" t="str">
        <f aca="false">IF(J231="","",(J231-L231)*M231)</f>
        <v/>
      </c>
      <c r="O231" s="20" t="str">
        <f aca="false">IF(J231="","",J231-L231-N231)</f>
        <v/>
      </c>
      <c r="P231" s="16"/>
      <c r="Q231" s="16"/>
      <c r="R231" s="16"/>
      <c r="S231" s="16"/>
      <c r="T231" s="14" t="str">
        <f aca="false">IF(F231="","",MONTH(F231))</f>
        <v/>
      </c>
      <c r="U231" s="14" t="str">
        <f aca="false">IF(F231="","",YEAR(F231))</f>
        <v/>
      </c>
    </row>
    <row r="232" customFormat="false" ht="15" hidden="false" customHeight="false" outlineLevel="0" collapsed="false">
      <c r="A232" s="16"/>
      <c r="B232" s="16"/>
      <c r="C232" s="16"/>
      <c r="D232" s="16"/>
      <c r="E232" s="16"/>
      <c r="F232" s="17"/>
      <c r="G232" s="17"/>
      <c r="H232" s="18" t="str">
        <f aca="false">IF(OR(F232="",G232=""),"",G232-F232)</f>
        <v/>
      </c>
      <c r="I232" s="19"/>
      <c r="J232" s="20" t="str">
        <f aca="false">IF(OR(H232="",I232=""),"",H232*I232)</f>
        <v/>
      </c>
      <c r="K232" s="21" t="str">
        <f aca="false">IF(C232="","",IFERROR(INDEX(Paramètres!$E$9:$E$11,MATCH(C232,Paramètres!$D$9:$D$11,0)),0))</f>
        <v/>
      </c>
      <c r="L232" s="20" t="str">
        <f aca="false">IF(J232="","",J232*K232)</f>
        <v/>
      </c>
      <c r="M232" s="21" t="str">
        <f aca="false">IF(B232="","",IFERROR(INDEX(Propriétaires!$E$4:$E$13,MATCH(B232,Propriétaires!$A$4:$A$13,0)),0.2))</f>
        <v/>
      </c>
      <c r="N232" s="20" t="str">
        <f aca="false">IF(J232="","",(J232-L232)*M232)</f>
        <v/>
      </c>
      <c r="O232" s="20" t="str">
        <f aca="false">IF(J232="","",J232-L232-N232)</f>
        <v/>
      </c>
      <c r="P232" s="16"/>
      <c r="Q232" s="16"/>
      <c r="R232" s="16"/>
      <c r="S232" s="16"/>
      <c r="T232" s="14" t="str">
        <f aca="false">IF(F232="","",MONTH(F232))</f>
        <v/>
      </c>
      <c r="U232" s="14" t="str">
        <f aca="false">IF(F232="","",YEAR(F232))</f>
        <v/>
      </c>
    </row>
    <row r="233" customFormat="false" ht="15" hidden="false" customHeight="false" outlineLevel="0" collapsed="false">
      <c r="A233" s="16"/>
      <c r="B233" s="16"/>
      <c r="C233" s="16"/>
      <c r="D233" s="16"/>
      <c r="E233" s="16"/>
      <c r="F233" s="17"/>
      <c r="G233" s="17"/>
      <c r="H233" s="18" t="str">
        <f aca="false">IF(OR(F233="",G233=""),"",G233-F233)</f>
        <v/>
      </c>
      <c r="I233" s="19"/>
      <c r="J233" s="20" t="str">
        <f aca="false">IF(OR(H233="",I233=""),"",H233*I233)</f>
        <v/>
      </c>
      <c r="K233" s="21" t="str">
        <f aca="false">IF(C233="","",IFERROR(INDEX(Paramètres!$E$9:$E$11,MATCH(C233,Paramètres!$D$9:$D$11,0)),0))</f>
        <v/>
      </c>
      <c r="L233" s="20" t="str">
        <f aca="false">IF(J233="","",J233*K233)</f>
        <v/>
      </c>
      <c r="M233" s="21" t="str">
        <f aca="false">IF(B233="","",IFERROR(INDEX(Propriétaires!$E$4:$E$13,MATCH(B233,Propriétaires!$A$4:$A$13,0)),0.2))</f>
        <v/>
      </c>
      <c r="N233" s="20" t="str">
        <f aca="false">IF(J233="","",(J233-L233)*M233)</f>
        <v/>
      </c>
      <c r="O233" s="20" t="str">
        <f aca="false">IF(J233="","",J233-L233-N233)</f>
        <v/>
      </c>
      <c r="P233" s="16"/>
      <c r="Q233" s="16"/>
      <c r="R233" s="16"/>
      <c r="S233" s="16"/>
      <c r="T233" s="14" t="str">
        <f aca="false">IF(F233="","",MONTH(F233))</f>
        <v/>
      </c>
      <c r="U233" s="14" t="str">
        <f aca="false">IF(F233="","",YEAR(F233))</f>
        <v/>
      </c>
    </row>
    <row r="234" customFormat="false" ht="15" hidden="false" customHeight="false" outlineLevel="0" collapsed="false">
      <c r="A234" s="16"/>
      <c r="B234" s="16"/>
      <c r="C234" s="16"/>
      <c r="D234" s="16"/>
      <c r="E234" s="16"/>
      <c r="F234" s="17"/>
      <c r="G234" s="17"/>
      <c r="H234" s="18" t="str">
        <f aca="false">IF(OR(F234="",G234=""),"",G234-F234)</f>
        <v/>
      </c>
      <c r="I234" s="19"/>
      <c r="J234" s="20" t="str">
        <f aca="false">IF(OR(H234="",I234=""),"",H234*I234)</f>
        <v/>
      </c>
      <c r="K234" s="21" t="str">
        <f aca="false">IF(C234="","",IFERROR(INDEX(Paramètres!$E$9:$E$11,MATCH(C234,Paramètres!$D$9:$D$11,0)),0))</f>
        <v/>
      </c>
      <c r="L234" s="20" t="str">
        <f aca="false">IF(J234="","",J234*K234)</f>
        <v/>
      </c>
      <c r="M234" s="21" t="str">
        <f aca="false">IF(B234="","",IFERROR(INDEX(Propriétaires!$E$4:$E$13,MATCH(B234,Propriétaires!$A$4:$A$13,0)),0.2))</f>
        <v/>
      </c>
      <c r="N234" s="20" t="str">
        <f aca="false">IF(J234="","",(J234-L234)*M234)</f>
        <v/>
      </c>
      <c r="O234" s="20" t="str">
        <f aca="false">IF(J234="","",J234-L234-N234)</f>
        <v/>
      </c>
      <c r="P234" s="16"/>
      <c r="Q234" s="16"/>
      <c r="R234" s="16"/>
      <c r="S234" s="16"/>
      <c r="T234" s="14" t="str">
        <f aca="false">IF(F234="","",MONTH(F234))</f>
        <v/>
      </c>
      <c r="U234" s="14" t="str">
        <f aca="false">IF(F234="","",YEAR(F234))</f>
        <v/>
      </c>
    </row>
    <row r="235" customFormat="false" ht="15" hidden="false" customHeight="false" outlineLevel="0" collapsed="false">
      <c r="A235" s="16"/>
      <c r="B235" s="16"/>
      <c r="C235" s="16"/>
      <c r="D235" s="16"/>
      <c r="E235" s="16"/>
      <c r="F235" s="17"/>
      <c r="G235" s="17"/>
      <c r="H235" s="18" t="str">
        <f aca="false">IF(OR(F235="",G235=""),"",G235-F235)</f>
        <v/>
      </c>
      <c r="I235" s="19"/>
      <c r="J235" s="20" t="str">
        <f aca="false">IF(OR(H235="",I235=""),"",H235*I235)</f>
        <v/>
      </c>
      <c r="K235" s="21" t="str">
        <f aca="false">IF(C235="","",IFERROR(INDEX(Paramètres!$E$9:$E$11,MATCH(C235,Paramètres!$D$9:$D$11,0)),0))</f>
        <v/>
      </c>
      <c r="L235" s="20" t="str">
        <f aca="false">IF(J235="","",J235*K235)</f>
        <v/>
      </c>
      <c r="M235" s="21" t="str">
        <f aca="false">IF(B235="","",IFERROR(INDEX(Propriétaires!$E$4:$E$13,MATCH(B235,Propriétaires!$A$4:$A$13,0)),0.2))</f>
        <v/>
      </c>
      <c r="N235" s="20" t="str">
        <f aca="false">IF(J235="","",(J235-L235)*M235)</f>
        <v/>
      </c>
      <c r="O235" s="20" t="str">
        <f aca="false">IF(J235="","",J235-L235-N235)</f>
        <v/>
      </c>
      <c r="P235" s="16"/>
      <c r="Q235" s="16"/>
      <c r="R235" s="16"/>
      <c r="S235" s="16"/>
      <c r="T235" s="14" t="str">
        <f aca="false">IF(F235="","",MONTH(F235))</f>
        <v/>
      </c>
      <c r="U235" s="14" t="str">
        <f aca="false">IF(F235="","",YEAR(F235))</f>
        <v/>
      </c>
    </row>
    <row r="236" customFormat="false" ht="15" hidden="false" customHeight="false" outlineLevel="0" collapsed="false">
      <c r="A236" s="16"/>
      <c r="B236" s="16"/>
      <c r="C236" s="16"/>
      <c r="D236" s="16"/>
      <c r="E236" s="16"/>
      <c r="F236" s="17"/>
      <c r="G236" s="17"/>
      <c r="H236" s="18" t="str">
        <f aca="false">IF(OR(F236="",G236=""),"",G236-F236)</f>
        <v/>
      </c>
      <c r="I236" s="19"/>
      <c r="J236" s="20" t="str">
        <f aca="false">IF(OR(H236="",I236=""),"",H236*I236)</f>
        <v/>
      </c>
      <c r="K236" s="21" t="str">
        <f aca="false">IF(C236="","",IFERROR(INDEX(Paramètres!$E$9:$E$11,MATCH(C236,Paramètres!$D$9:$D$11,0)),0))</f>
        <v/>
      </c>
      <c r="L236" s="20" t="str">
        <f aca="false">IF(J236="","",J236*K236)</f>
        <v/>
      </c>
      <c r="M236" s="21" t="str">
        <f aca="false">IF(B236="","",IFERROR(INDEX(Propriétaires!$E$4:$E$13,MATCH(B236,Propriétaires!$A$4:$A$13,0)),0.2))</f>
        <v/>
      </c>
      <c r="N236" s="20" t="str">
        <f aca="false">IF(J236="","",(J236-L236)*M236)</f>
        <v/>
      </c>
      <c r="O236" s="20" t="str">
        <f aca="false">IF(J236="","",J236-L236-N236)</f>
        <v/>
      </c>
      <c r="P236" s="16"/>
      <c r="Q236" s="16"/>
      <c r="R236" s="16"/>
      <c r="S236" s="16"/>
      <c r="T236" s="14" t="str">
        <f aca="false">IF(F236="","",MONTH(F236))</f>
        <v/>
      </c>
      <c r="U236" s="14" t="str">
        <f aca="false">IF(F236="","",YEAR(F236))</f>
        <v/>
      </c>
    </row>
    <row r="237" customFormat="false" ht="15" hidden="false" customHeight="false" outlineLevel="0" collapsed="false">
      <c r="A237" s="16"/>
      <c r="B237" s="16"/>
      <c r="C237" s="16"/>
      <c r="D237" s="16"/>
      <c r="E237" s="16"/>
      <c r="F237" s="17"/>
      <c r="G237" s="17"/>
      <c r="H237" s="18" t="str">
        <f aca="false">IF(OR(F237="",G237=""),"",G237-F237)</f>
        <v/>
      </c>
      <c r="I237" s="19"/>
      <c r="J237" s="20" t="str">
        <f aca="false">IF(OR(H237="",I237=""),"",H237*I237)</f>
        <v/>
      </c>
      <c r="K237" s="21" t="str">
        <f aca="false">IF(C237="","",IFERROR(INDEX(Paramètres!$E$9:$E$11,MATCH(C237,Paramètres!$D$9:$D$11,0)),0))</f>
        <v/>
      </c>
      <c r="L237" s="20" t="str">
        <f aca="false">IF(J237="","",J237*K237)</f>
        <v/>
      </c>
      <c r="M237" s="21" t="str">
        <f aca="false">IF(B237="","",IFERROR(INDEX(Propriétaires!$E$4:$E$13,MATCH(B237,Propriétaires!$A$4:$A$13,0)),0.2))</f>
        <v/>
      </c>
      <c r="N237" s="20" t="str">
        <f aca="false">IF(J237="","",(J237-L237)*M237)</f>
        <v/>
      </c>
      <c r="O237" s="20" t="str">
        <f aca="false">IF(J237="","",J237-L237-N237)</f>
        <v/>
      </c>
      <c r="P237" s="16"/>
      <c r="Q237" s="16"/>
      <c r="R237" s="16"/>
      <c r="S237" s="16"/>
      <c r="T237" s="14" t="str">
        <f aca="false">IF(F237="","",MONTH(F237))</f>
        <v/>
      </c>
      <c r="U237" s="14" t="str">
        <f aca="false">IF(F237="","",YEAR(F237))</f>
        <v/>
      </c>
    </row>
    <row r="238" customFormat="false" ht="15" hidden="false" customHeight="false" outlineLevel="0" collapsed="false">
      <c r="A238" s="16"/>
      <c r="B238" s="16"/>
      <c r="C238" s="16"/>
      <c r="D238" s="16"/>
      <c r="E238" s="16"/>
      <c r="F238" s="17"/>
      <c r="G238" s="17"/>
      <c r="H238" s="18" t="str">
        <f aca="false">IF(OR(F238="",G238=""),"",G238-F238)</f>
        <v/>
      </c>
      <c r="I238" s="19"/>
      <c r="J238" s="20" t="str">
        <f aca="false">IF(OR(H238="",I238=""),"",H238*I238)</f>
        <v/>
      </c>
      <c r="K238" s="21" t="str">
        <f aca="false">IF(C238="","",IFERROR(INDEX(Paramètres!$E$9:$E$11,MATCH(C238,Paramètres!$D$9:$D$11,0)),0))</f>
        <v/>
      </c>
      <c r="L238" s="20" t="str">
        <f aca="false">IF(J238="","",J238*K238)</f>
        <v/>
      </c>
      <c r="M238" s="21" t="str">
        <f aca="false">IF(B238="","",IFERROR(INDEX(Propriétaires!$E$4:$E$13,MATCH(B238,Propriétaires!$A$4:$A$13,0)),0.2))</f>
        <v/>
      </c>
      <c r="N238" s="20" t="str">
        <f aca="false">IF(J238="","",(J238-L238)*M238)</f>
        <v/>
      </c>
      <c r="O238" s="20" t="str">
        <f aca="false">IF(J238="","",J238-L238-N238)</f>
        <v/>
      </c>
      <c r="P238" s="16"/>
      <c r="Q238" s="16"/>
      <c r="R238" s="16"/>
      <c r="S238" s="16"/>
      <c r="T238" s="14" t="str">
        <f aca="false">IF(F238="","",MONTH(F238))</f>
        <v/>
      </c>
      <c r="U238" s="14" t="str">
        <f aca="false">IF(F238="","",YEAR(F238))</f>
        <v/>
      </c>
    </row>
    <row r="239" customFormat="false" ht="15" hidden="false" customHeight="false" outlineLevel="0" collapsed="false">
      <c r="A239" s="16"/>
      <c r="B239" s="16"/>
      <c r="C239" s="16"/>
      <c r="D239" s="16"/>
      <c r="E239" s="16"/>
      <c r="F239" s="17"/>
      <c r="G239" s="17"/>
      <c r="H239" s="18" t="str">
        <f aca="false">IF(OR(F239="",G239=""),"",G239-F239)</f>
        <v/>
      </c>
      <c r="I239" s="19"/>
      <c r="J239" s="20" t="str">
        <f aca="false">IF(OR(H239="",I239=""),"",H239*I239)</f>
        <v/>
      </c>
      <c r="K239" s="21" t="str">
        <f aca="false">IF(C239="","",IFERROR(INDEX(Paramètres!$E$9:$E$11,MATCH(C239,Paramètres!$D$9:$D$11,0)),0))</f>
        <v/>
      </c>
      <c r="L239" s="20" t="str">
        <f aca="false">IF(J239="","",J239*K239)</f>
        <v/>
      </c>
      <c r="M239" s="21" t="str">
        <f aca="false">IF(B239="","",IFERROR(INDEX(Propriétaires!$E$4:$E$13,MATCH(B239,Propriétaires!$A$4:$A$13,0)),0.2))</f>
        <v/>
      </c>
      <c r="N239" s="20" t="str">
        <f aca="false">IF(J239="","",(J239-L239)*M239)</f>
        <v/>
      </c>
      <c r="O239" s="20" t="str">
        <f aca="false">IF(J239="","",J239-L239-N239)</f>
        <v/>
      </c>
      <c r="P239" s="16"/>
      <c r="Q239" s="16"/>
      <c r="R239" s="16"/>
      <c r="S239" s="16"/>
      <c r="T239" s="14" t="str">
        <f aca="false">IF(F239="","",MONTH(F239))</f>
        <v/>
      </c>
      <c r="U239" s="14" t="str">
        <f aca="false">IF(F239="","",YEAR(F239))</f>
        <v/>
      </c>
    </row>
    <row r="240" customFormat="false" ht="15" hidden="false" customHeight="false" outlineLevel="0" collapsed="false">
      <c r="A240" s="16"/>
      <c r="B240" s="16"/>
      <c r="C240" s="16"/>
      <c r="D240" s="16"/>
      <c r="E240" s="16"/>
      <c r="F240" s="17"/>
      <c r="G240" s="17"/>
      <c r="H240" s="18" t="str">
        <f aca="false">IF(OR(F240="",G240=""),"",G240-F240)</f>
        <v/>
      </c>
      <c r="I240" s="19"/>
      <c r="J240" s="20" t="str">
        <f aca="false">IF(OR(H240="",I240=""),"",H240*I240)</f>
        <v/>
      </c>
      <c r="K240" s="21" t="str">
        <f aca="false">IF(C240="","",IFERROR(INDEX(Paramètres!$E$9:$E$11,MATCH(C240,Paramètres!$D$9:$D$11,0)),0))</f>
        <v/>
      </c>
      <c r="L240" s="20" t="str">
        <f aca="false">IF(J240="","",J240*K240)</f>
        <v/>
      </c>
      <c r="M240" s="21" t="str">
        <f aca="false">IF(B240="","",IFERROR(INDEX(Propriétaires!$E$4:$E$13,MATCH(B240,Propriétaires!$A$4:$A$13,0)),0.2))</f>
        <v/>
      </c>
      <c r="N240" s="20" t="str">
        <f aca="false">IF(J240="","",(J240-L240)*M240)</f>
        <v/>
      </c>
      <c r="O240" s="20" t="str">
        <f aca="false">IF(J240="","",J240-L240-N240)</f>
        <v/>
      </c>
      <c r="P240" s="16"/>
      <c r="Q240" s="16"/>
      <c r="R240" s="16"/>
      <c r="S240" s="16"/>
      <c r="T240" s="14" t="str">
        <f aca="false">IF(F240="","",MONTH(F240))</f>
        <v/>
      </c>
      <c r="U240" s="14" t="str">
        <f aca="false">IF(F240="","",YEAR(F240))</f>
        <v/>
      </c>
    </row>
    <row r="241" customFormat="false" ht="15" hidden="false" customHeight="false" outlineLevel="0" collapsed="false">
      <c r="A241" s="16"/>
      <c r="B241" s="16"/>
      <c r="C241" s="16"/>
      <c r="D241" s="16"/>
      <c r="E241" s="16"/>
      <c r="F241" s="17"/>
      <c r="G241" s="17"/>
      <c r="H241" s="18" t="str">
        <f aca="false">IF(OR(F241="",G241=""),"",G241-F241)</f>
        <v/>
      </c>
      <c r="I241" s="19"/>
      <c r="J241" s="20" t="str">
        <f aca="false">IF(OR(H241="",I241=""),"",H241*I241)</f>
        <v/>
      </c>
      <c r="K241" s="21" t="str">
        <f aca="false">IF(C241="","",IFERROR(INDEX(Paramètres!$E$9:$E$11,MATCH(C241,Paramètres!$D$9:$D$11,0)),0))</f>
        <v/>
      </c>
      <c r="L241" s="20" t="str">
        <f aca="false">IF(J241="","",J241*K241)</f>
        <v/>
      </c>
      <c r="M241" s="21" t="str">
        <f aca="false">IF(B241="","",IFERROR(INDEX(Propriétaires!$E$4:$E$13,MATCH(B241,Propriétaires!$A$4:$A$13,0)),0.2))</f>
        <v/>
      </c>
      <c r="N241" s="20" t="str">
        <f aca="false">IF(J241="","",(J241-L241)*M241)</f>
        <v/>
      </c>
      <c r="O241" s="20" t="str">
        <f aca="false">IF(J241="","",J241-L241-N241)</f>
        <v/>
      </c>
      <c r="P241" s="16"/>
      <c r="Q241" s="16"/>
      <c r="R241" s="16"/>
      <c r="S241" s="16"/>
      <c r="T241" s="14" t="str">
        <f aca="false">IF(F241="","",MONTH(F241))</f>
        <v/>
      </c>
      <c r="U241" s="14" t="str">
        <f aca="false">IF(F241="","",YEAR(F241))</f>
        <v/>
      </c>
    </row>
    <row r="242" customFormat="false" ht="15" hidden="false" customHeight="false" outlineLevel="0" collapsed="false">
      <c r="A242" s="16"/>
      <c r="B242" s="16"/>
      <c r="C242" s="16"/>
      <c r="D242" s="16"/>
      <c r="E242" s="16"/>
      <c r="F242" s="17"/>
      <c r="G242" s="17"/>
      <c r="H242" s="18" t="str">
        <f aca="false">IF(OR(F242="",G242=""),"",G242-F242)</f>
        <v/>
      </c>
      <c r="I242" s="19"/>
      <c r="J242" s="20" t="str">
        <f aca="false">IF(OR(H242="",I242=""),"",H242*I242)</f>
        <v/>
      </c>
      <c r="K242" s="21" t="str">
        <f aca="false">IF(C242="","",IFERROR(INDEX(Paramètres!$E$9:$E$11,MATCH(C242,Paramètres!$D$9:$D$11,0)),0))</f>
        <v/>
      </c>
      <c r="L242" s="20" t="str">
        <f aca="false">IF(J242="","",J242*K242)</f>
        <v/>
      </c>
      <c r="M242" s="21" t="str">
        <f aca="false">IF(B242="","",IFERROR(INDEX(Propriétaires!$E$4:$E$13,MATCH(B242,Propriétaires!$A$4:$A$13,0)),0.2))</f>
        <v/>
      </c>
      <c r="N242" s="20" t="str">
        <f aca="false">IF(J242="","",(J242-L242)*M242)</f>
        <v/>
      </c>
      <c r="O242" s="20" t="str">
        <f aca="false">IF(J242="","",J242-L242-N242)</f>
        <v/>
      </c>
      <c r="P242" s="16"/>
      <c r="Q242" s="16"/>
      <c r="R242" s="16"/>
      <c r="S242" s="16"/>
      <c r="T242" s="14" t="str">
        <f aca="false">IF(F242="","",MONTH(F242))</f>
        <v/>
      </c>
      <c r="U242" s="14" t="str">
        <f aca="false">IF(F242="","",YEAR(F242))</f>
        <v/>
      </c>
    </row>
    <row r="243" customFormat="false" ht="15" hidden="false" customHeight="false" outlineLevel="0" collapsed="false">
      <c r="A243" s="16"/>
      <c r="B243" s="16"/>
      <c r="C243" s="16"/>
      <c r="D243" s="16"/>
      <c r="E243" s="16"/>
      <c r="F243" s="17"/>
      <c r="G243" s="17"/>
      <c r="H243" s="18" t="str">
        <f aca="false">IF(OR(F243="",G243=""),"",G243-F243)</f>
        <v/>
      </c>
      <c r="I243" s="19"/>
      <c r="J243" s="20" t="str">
        <f aca="false">IF(OR(H243="",I243=""),"",H243*I243)</f>
        <v/>
      </c>
      <c r="K243" s="21" t="str">
        <f aca="false">IF(C243="","",IFERROR(INDEX(Paramètres!$E$9:$E$11,MATCH(C243,Paramètres!$D$9:$D$11,0)),0))</f>
        <v/>
      </c>
      <c r="L243" s="20" t="str">
        <f aca="false">IF(J243="","",J243*K243)</f>
        <v/>
      </c>
      <c r="M243" s="21" t="str">
        <f aca="false">IF(B243="","",IFERROR(INDEX(Propriétaires!$E$4:$E$13,MATCH(B243,Propriétaires!$A$4:$A$13,0)),0.2))</f>
        <v/>
      </c>
      <c r="N243" s="20" t="str">
        <f aca="false">IF(J243="","",(J243-L243)*M243)</f>
        <v/>
      </c>
      <c r="O243" s="20" t="str">
        <f aca="false">IF(J243="","",J243-L243-N243)</f>
        <v/>
      </c>
      <c r="P243" s="16"/>
      <c r="Q243" s="16"/>
      <c r="R243" s="16"/>
      <c r="S243" s="16"/>
      <c r="T243" s="14" t="str">
        <f aca="false">IF(F243="","",MONTH(F243))</f>
        <v/>
      </c>
      <c r="U243" s="14" t="str">
        <f aca="false">IF(F243="","",YEAR(F243))</f>
        <v/>
      </c>
    </row>
    <row r="244" customFormat="false" ht="15" hidden="false" customHeight="false" outlineLevel="0" collapsed="false">
      <c r="A244" s="16"/>
      <c r="B244" s="16"/>
      <c r="C244" s="16"/>
      <c r="D244" s="16"/>
      <c r="E244" s="16"/>
      <c r="F244" s="17"/>
      <c r="G244" s="17"/>
      <c r="H244" s="18" t="str">
        <f aca="false">IF(OR(F244="",G244=""),"",G244-F244)</f>
        <v/>
      </c>
      <c r="I244" s="19"/>
      <c r="J244" s="20" t="str">
        <f aca="false">IF(OR(H244="",I244=""),"",H244*I244)</f>
        <v/>
      </c>
      <c r="K244" s="21" t="str">
        <f aca="false">IF(C244="","",IFERROR(INDEX(Paramètres!$E$9:$E$11,MATCH(C244,Paramètres!$D$9:$D$11,0)),0))</f>
        <v/>
      </c>
      <c r="L244" s="20" t="str">
        <f aca="false">IF(J244="","",J244*K244)</f>
        <v/>
      </c>
      <c r="M244" s="21" t="str">
        <f aca="false">IF(B244="","",IFERROR(INDEX(Propriétaires!$E$4:$E$13,MATCH(B244,Propriétaires!$A$4:$A$13,0)),0.2))</f>
        <v/>
      </c>
      <c r="N244" s="20" t="str">
        <f aca="false">IF(J244="","",(J244-L244)*M244)</f>
        <v/>
      </c>
      <c r="O244" s="20" t="str">
        <f aca="false">IF(J244="","",J244-L244-N244)</f>
        <v/>
      </c>
      <c r="P244" s="16"/>
      <c r="Q244" s="16"/>
      <c r="R244" s="16"/>
      <c r="S244" s="16"/>
      <c r="T244" s="14" t="str">
        <f aca="false">IF(F244="","",MONTH(F244))</f>
        <v/>
      </c>
      <c r="U244" s="14" t="str">
        <f aca="false">IF(F244="","",YEAR(F244))</f>
        <v/>
      </c>
    </row>
    <row r="245" customFormat="false" ht="15" hidden="false" customHeight="false" outlineLevel="0" collapsed="false">
      <c r="A245" s="16"/>
      <c r="B245" s="16"/>
      <c r="C245" s="16"/>
      <c r="D245" s="16"/>
      <c r="E245" s="16"/>
      <c r="F245" s="17"/>
      <c r="G245" s="17"/>
      <c r="H245" s="18" t="str">
        <f aca="false">IF(OR(F245="",G245=""),"",G245-F245)</f>
        <v/>
      </c>
      <c r="I245" s="19"/>
      <c r="J245" s="20" t="str">
        <f aca="false">IF(OR(H245="",I245=""),"",H245*I245)</f>
        <v/>
      </c>
      <c r="K245" s="21" t="str">
        <f aca="false">IF(C245="","",IFERROR(INDEX(Paramètres!$E$9:$E$11,MATCH(C245,Paramètres!$D$9:$D$11,0)),0))</f>
        <v/>
      </c>
      <c r="L245" s="20" t="str">
        <f aca="false">IF(J245="","",J245*K245)</f>
        <v/>
      </c>
      <c r="M245" s="21" t="str">
        <f aca="false">IF(B245="","",IFERROR(INDEX(Propriétaires!$E$4:$E$13,MATCH(B245,Propriétaires!$A$4:$A$13,0)),0.2))</f>
        <v/>
      </c>
      <c r="N245" s="20" t="str">
        <f aca="false">IF(J245="","",(J245-L245)*M245)</f>
        <v/>
      </c>
      <c r="O245" s="20" t="str">
        <f aca="false">IF(J245="","",J245-L245-N245)</f>
        <v/>
      </c>
      <c r="P245" s="16"/>
      <c r="Q245" s="16"/>
      <c r="R245" s="16"/>
      <c r="S245" s="16"/>
      <c r="T245" s="14" t="str">
        <f aca="false">IF(F245="","",MONTH(F245))</f>
        <v/>
      </c>
      <c r="U245" s="14" t="str">
        <f aca="false">IF(F245="","",YEAR(F245))</f>
        <v/>
      </c>
    </row>
    <row r="246" customFormat="false" ht="15" hidden="false" customHeight="false" outlineLevel="0" collapsed="false">
      <c r="A246" s="16"/>
      <c r="B246" s="16"/>
      <c r="C246" s="16"/>
      <c r="D246" s="16"/>
      <c r="E246" s="16"/>
      <c r="F246" s="17"/>
      <c r="G246" s="17"/>
      <c r="H246" s="18" t="str">
        <f aca="false">IF(OR(F246="",G246=""),"",G246-F246)</f>
        <v/>
      </c>
      <c r="I246" s="19"/>
      <c r="J246" s="20" t="str">
        <f aca="false">IF(OR(H246="",I246=""),"",H246*I246)</f>
        <v/>
      </c>
      <c r="K246" s="21" t="str">
        <f aca="false">IF(C246="","",IFERROR(INDEX(Paramètres!$E$9:$E$11,MATCH(C246,Paramètres!$D$9:$D$11,0)),0))</f>
        <v/>
      </c>
      <c r="L246" s="20" t="str">
        <f aca="false">IF(J246="","",J246*K246)</f>
        <v/>
      </c>
      <c r="M246" s="21" t="str">
        <f aca="false">IF(B246="","",IFERROR(INDEX(Propriétaires!$E$4:$E$13,MATCH(B246,Propriétaires!$A$4:$A$13,0)),0.2))</f>
        <v/>
      </c>
      <c r="N246" s="20" t="str">
        <f aca="false">IF(J246="","",(J246-L246)*M246)</f>
        <v/>
      </c>
      <c r="O246" s="20" t="str">
        <f aca="false">IF(J246="","",J246-L246-N246)</f>
        <v/>
      </c>
      <c r="P246" s="16"/>
      <c r="Q246" s="16"/>
      <c r="R246" s="16"/>
      <c r="S246" s="16"/>
      <c r="T246" s="14" t="str">
        <f aca="false">IF(F246="","",MONTH(F246))</f>
        <v/>
      </c>
      <c r="U246" s="14" t="str">
        <f aca="false">IF(F246="","",YEAR(F246))</f>
        <v/>
      </c>
    </row>
    <row r="247" customFormat="false" ht="15" hidden="false" customHeight="false" outlineLevel="0" collapsed="false">
      <c r="A247" s="16"/>
      <c r="B247" s="16"/>
      <c r="C247" s="16"/>
      <c r="D247" s="16"/>
      <c r="E247" s="16"/>
      <c r="F247" s="17"/>
      <c r="G247" s="17"/>
      <c r="H247" s="18" t="str">
        <f aca="false">IF(OR(F247="",G247=""),"",G247-F247)</f>
        <v/>
      </c>
      <c r="I247" s="19"/>
      <c r="J247" s="20" t="str">
        <f aca="false">IF(OR(H247="",I247=""),"",H247*I247)</f>
        <v/>
      </c>
      <c r="K247" s="21" t="str">
        <f aca="false">IF(C247="","",IFERROR(INDEX(Paramètres!$E$9:$E$11,MATCH(C247,Paramètres!$D$9:$D$11,0)),0))</f>
        <v/>
      </c>
      <c r="L247" s="20" t="str">
        <f aca="false">IF(J247="","",J247*K247)</f>
        <v/>
      </c>
      <c r="M247" s="21" t="str">
        <f aca="false">IF(B247="","",IFERROR(INDEX(Propriétaires!$E$4:$E$13,MATCH(B247,Propriétaires!$A$4:$A$13,0)),0.2))</f>
        <v/>
      </c>
      <c r="N247" s="20" t="str">
        <f aca="false">IF(J247="","",(J247-L247)*M247)</f>
        <v/>
      </c>
      <c r="O247" s="20" t="str">
        <f aca="false">IF(J247="","",J247-L247-N247)</f>
        <v/>
      </c>
      <c r="P247" s="16"/>
      <c r="Q247" s="16"/>
      <c r="R247" s="16"/>
      <c r="S247" s="16"/>
      <c r="T247" s="14" t="str">
        <f aca="false">IF(F247="","",MONTH(F247))</f>
        <v/>
      </c>
      <c r="U247" s="14" t="str">
        <f aca="false">IF(F247="","",YEAR(F247))</f>
        <v/>
      </c>
    </row>
    <row r="248" customFormat="false" ht="15" hidden="false" customHeight="false" outlineLevel="0" collapsed="false">
      <c r="A248" s="16"/>
      <c r="B248" s="16"/>
      <c r="C248" s="16"/>
      <c r="D248" s="16"/>
      <c r="E248" s="16"/>
      <c r="F248" s="17"/>
      <c r="G248" s="17"/>
      <c r="H248" s="18" t="str">
        <f aca="false">IF(OR(F248="",G248=""),"",G248-F248)</f>
        <v/>
      </c>
      <c r="I248" s="19"/>
      <c r="J248" s="20" t="str">
        <f aca="false">IF(OR(H248="",I248=""),"",H248*I248)</f>
        <v/>
      </c>
      <c r="K248" s="21" t="str">
        <f aca="false">IF(C248="","",IFERROR(INDEX(Paramètres!$E$9:$E$11,MATCH(C248,Paramètres!$D$9:$D$11,0)),0))</f>
        <v/>
      </c>
      <c r="L248" s="20" t="str">
        <f aca="false">IF(J248="","",J248*K248)</f>
        <v/>
      </c>
      <c r="M248" s="21" t="str">
        <f aca="false">IF(B248="","",IFERROR(INDEX(Propriétaires!$E$4:$E$13,MATCH(B248,Propriétaires!$A$4:$A$13,0)),0.2))</f>
        <v/>
      </c>
      <c r="N248" s="20" t="str">
        <f aca="false">IF(J248="","",(J248-L248)*M248)</f>
        <v/>
      </c>
      <c r="O248" s="20" t="str">
        <f aca="false">IF(J248="","",J248-L248-N248)</f>
        <v/>
      </c>
      <c r="P248" s="16"/>
      <c r="Q248" s="16"/>
      <c r="R248" s="16"/>
      <c r="S248" s="16"/>
      <c r="T248" s="14" t="str">
        <f aca="false">IF(F248="","",MONTH(F248))</f>
        <v/>
      </c>
      <c r="U248" s="14" t="str">
        <f aca="false">IF(F248="","",YEAR(F248))</f>
        <v/>
      </c>
    </row>
    <row r="249" customFormat="false" ht="15" hidden="false" customHeight="false" outlineLevel="0" collapsed="false">
      <c r="A249" s="16"/>
      <c r="B249" s="16"/>
      <c r="C249" s="16"/>
      <c r="D249" s="16"/>
      <c r="E249" s="16"/>
      <c r="F249" s="17"/>
      <c r="G249" s="17"/>
      <c r="H249" s="18" t="str">
        <f aca="false">IF(OR(F249="",G249=""),"",G249-F249)</f>
        <v/>
      </c>
      <c r="I249" s="19"/>
      <c r="J249" s="20" t="str">
        <f aca="false">IF(OR(H249="",I249=""),"",H249*I249)</f>
        <v/>
      </c>
      <c r="K249" s="21" t="str">
        <f aca="false">IF(C249="","",IFERROR(INDEX(Paramètres!$E$9:$E$11,MATCH(C249,Paramètres!$D$9:$D$11,0)),0))</f>
        <v/>
      </c>
      <c r="L249" s="20" t="str">
        <f aca="false">IF(J249="","",J249*K249)</f>
        <v/>
      </c>
      <c r="M249" s="21" t="str">
        <f aca="false">IF(B249="","",IFERROR(INDEX(Propriétaires!$E$4:$E$13,MATCH(B249,Propriétaires!$A$4:$A$13,0)),0.2))</f>
        <v/>
      </c>
      <c r="N249" s="20" t="str">
        <f aca="false">IF(J249="","",(J249-L249)*M249)</f>
        <v/>
      </c>
      <c r="O249" s="20" t="str">
        <f aca="false">IF(J249="","",J249-L249-N249)</f>
        <v/>
      </c>
      <c r="P249" s="16"/>
      <c r="Q249" s="16"/>
      <c r="R249" s="16"/>
      <c r="S249" s="16"/>
      <c r="T249" s="14" t="str">
        <f aca="false">IF(F249="","",MONTH(F249))</f>
        <v/>
      </c>
      <c r="U249" s="14" t="str">
        <f aca="false">IF(F249="","",YEAR(F249))</f>
        <v/>
      </c>
    </row>
    <row r="250" customFormat="false" ht="15" hidden="false" customHeight="false" outlineLevel="0" collapsed="false">
      <c r="A250" s="16"/>
      <c r="B250" s="16"/>
      <c r="C250" s="16"/>
      <c r="D250" s="16"/>
      <c r="E250" s="16"/>
      <c r="F250" s="17"/>
      <c r="G250" s="17"/>
      <c r="H250" s="18" t="str">
        <f aca="false">IF(OR(F250="",G250=""),"",G250-F250)</f>
        <v/>
      </c>
      <c r="I250" s="19"/>
      <c r="J250" s="20" t="str">
        <f aca="false">IF(OR(H250="",I250=""),"",H250*I250)</f>
        <v/>
      </c>
      <c r="K250" s="21" t="str">
        <f aca="false">IF(C250="","",IFERROR(INDEX(Paramètres!$E$9:$E$11,MATCH(C250,Paramètres!$D$9:$D$11,0)),0))</f>
        <v/>
      </c>
      <c r="L250" s="20" t="str">
        <f aca="false">IF(J250="","",J250*K250)</f>
        <v/>
      </c>
      <c r="M250" s="21" t="str">
        <f aca="false">IF(B250="","",IFERROR(INDEX(Propriétaires!$E$4:$E$13,MATCH(B250,Propriétaires!$A$4:$A$13,0)),0.2))</f>
        <v/>
      </c>
      <c r="N250" s="20" t="str">
        <f aca="false">IF(J250="","",(J250-L250)*M250)</f>
        <v/>
      </c>
      <c r="O250" s="20" t="str">
        <f aca="false">IF(J250="","",J250-L250-N250)</f>
        <v/>
      </c>
      <c r="P250" s="16"/>
      <c r="Q250" s="16"/>
      <c r="R250" s="16"/>
      <c r="S250" s="16"/>
      <c r="T250" s="14" t="str">
        <f aca="false">IF(F250="","",MONTH(F250))</f>
        <v/>
      </c>
      <c r="U250" s="14" t="str">
        <f aca="false">IF(F250="","",YEAR(F250))</f>
        <v/>
      </c>
    </row>
    <row r="251" customFormat="false" ht="15" hidden="false" customHeight="false" outlineLevel="0" collapsed="false">
      <c r="A251" s="16"/>
      <c r="B251" s="16"/>
      <c r="C251" s="16"/>
      <c r="D251" s="16"/>
      <c r="E251" s="16"/>
      <c r="F251" s="17"/>
      <c r="G251" s="17"/>
      <c r="H251" s="18" t="str">
        <f aca="false">IF(OR(F251="",G251=""),"",G251-F251)</f>
        <v/>
      </c>
      <c r="I251" s="19"/>
      <c r="J251" s="20" t="str">
        <f aca="false">IF(OR(H251="",I251=""),"",H251*I251)</f>
        <v/>
      </c>
      <c r="K251" s="21" t="str">
        <f aca="false">IF(C251="","",IFERROR(INDEX(Paramètres!$E$9:$E$11,MATCH(C251,Paramètres!$D$9:$D$11,0)),0))</f>
        <v/>
      </c>
      <c r="L251" s="20" t="str">
        <f aca="false">IF(J251="","",J251*K251)</f>
        <v/>
      </c>
      <c r="M251" s="21" t="str">
        <f aca="false">IF(B251="","",IFERROR(INDEX(Propriétaires!$E$4:$E$13,MATCH(B251,Propriétaires!$A$4:$A$13,0)),0.2))</f>
        <v/>
      </c>
      <c r="N251" s="20" t="str">
        <f aca="false">IF(J251="","",(J251-L251)*M251)</f>
        <v/>
      </c>
      <c r="O251" s="20" t="str">
        <f aca="false">IF(J251="","",J251-L251-N251)</f>
        <v/>
      </c>
      <c r="P251" s="16"/>
      <c r="Q251" s="16"/>
      <c r="R251" s="16"/>
      <c r="S251" s="16"/>
      <c r="T251" s="14" t="str">
        <f aca="false">IF(F251="","",MONTH(F251))</f>
        <v/>
      </c>
      <c r="U251" s="14" t="str">
        <f aca="false">IF(F251="","",YEAR(F251))</f>
        <v/>
      </c>
    </row>
    <row r="252" customFormat="false" ht="15" hidden="false" customHeight="false" outlineLevel="0" collapsed="false">
      <c r="A252" s="16"/>
      <c r="B252" s="16"/>
      <c r="C252" s="16"/>
      <c r="D252" s="16"/>
      <c r="E252" s="16"/>
      <c r="F252" s="17"/>
      <c r="G252" s="17"/>
      <c r="H252" s="18" t="str">
        <f aca="false">IF(OR(F252="",G252=""),"",G252-F252)</f>
        <v/>
      </c>
      <c r="I252" s="19"/>
      <c r="J252" s="20" t="str">
        <f aca="false">IF(OR(H252="",I252=""),"",H252*I252)</f>
        <v/>
      </c>
      <c r="K252" s="21" t="str">
        <f aca="false">IF(C252="","",IFERROR(INDEX(Paramètres!$E$9:$E$11,MATCH(C252,Paramètres!$D$9:$D$11,0)),0))</f>
        <v/>
      </c>
      <c r="L252" s="20" t="str">
        <f aca="false">IF(J252="","",J252*K252)</f>
        <v/>
      </c>
      <c r="M252" s="21" t="str">
        <f aca="false">IF(B252="","",IFERROR(INDEX(Propriétaires!$E$4:$E$13,MATCH(B252,Propriétaires!$A$4:$A$13,0)),0.2))</f>
        <v/>
      </c>
      <c r="N252" s="20" t="str">
        <f aca="false">IF(J252="","",(J252-L252)*M252)</f>
        <v/>
      </c>
      <c r="O252" s="20" t="str">
        <f aca="false">IF(J252="","",J252-L252-N252)</f>
        <v/>
      </c>
      <c r="P252" s="16"/>
      <c r="Q252" s="16"/>
      <c r="R252" s="16"/>
      <c r="S252" s="16"/>
      <c r="T252" s="14" t="str">
        <f aca="false">IF(F252="","",MONTH(F252))</f>
        <v/>
      </c>
      <c r="U252" s="14" t="str">
        <f aca="false">IF(F252="","",YEAR(F252))</f>
        <v/>
      </c>
    </row>
    <row r="253" customFormat="false" ht="15" hidden="false" customHeight="false" outlineLevel="0" collapsed="false">
      <c r="A253" s="16"/>
      <c r="B253" s="16"/>
      <c r="C253" s="16"/>
      <c r="D253" s="16"/>
      <c r="E253" s="16"/>
      <c r="F253" s="17"/>
      <c r="G253" s="17"/>
      <c r="H253" s="18" t="str">
        <f aca="false">IF(OR(F253="",G253=""),"",G253-F253)</f>
        <v/>
      </c>
      <c r="I253" s="19"/>
      <c r="J253" s="20" t="str">
        <f aca="false">IF(OR(H253="",I253=""),"",H253*I253)</f>
        <v/>
      </c>
      <c r="K253" s="21" t="str">
        <f aca="false">IF(C253="","",IFERROR(INDEX(Paramètres!$E$9:$E$11,MATCH(C253,Paramètres!$D$9:$D$11,0)),0))</f>
        <v/>
      </c>
      <c r="L253" s="20" t="str">
        <f aca="false">IF(J253="","",J253*K253)</f>
        <v/>
      </c>
      <c r="M253" s="21" t="str">
        <f aca="false">IF(B253="","",IFERROR(INDEX(Propriétaires!$E$4:$E$13,MATCH(B253,Propriétaires!$A$4:$A$13,0)),0.2))</f>
        <v/>
      </c>
      <c r="N253" s="20" t="str">
        <f aca="false">IF(J253="","",(J253-L253)*M253)</f>
        <v/>
      </c>
      <c r="O253" s="20" t="str">
        <f aca="false">IF(J253="","",J253-L253-N253)</f>
        <v/>
      </c>
      <c r="P253" s="16"/>
      <c r="Q253" s="16"/>
      <c r="R253" s="16"/>
      <c r="S253" s="16"/>
      <c r="T253" s="14" t="str">
        <f aca="false">IF(F253="","",MONTH(F253))</f>
        <v/>
      </c>
      <c r="U253" s="14" t="str">
        <f aca="false">IF(F253="","",YEAR(F253))</f>
        <v/>
      </c>
    </row>
    <row r="254" customFormat="false" ht="15" hidden="false" customHeight="false" outlineLevel="0" collapsed="false">
      <c r="A254" s="16"/>
      <c r="B254" s="16"/>
      <c r="C254" s="16"/>
      <c r="D254" s="16"/>
      <c r="E254" s="16"/>
      <c r="F254" s="17"/>
      <c r="G254" s="17"/>
      <c r="H254" s="18" t="str">
        <f aca="false">IF(OR(F254="",G254=""),"",G254-F254)</f>
        <v/>
      </c>
      <c r="I254" s="19"/>
      <c r="J254" s="20" t="str">
        <f aca="false">IF(OR(H254="",I254=""),"",H254*I254)</f>
        <v/>
      </c>
      <c r="K254" s="21" t="str">
        <f aca="false">IF(C254="","",IFERROR(INDEX(Paramètres!$E$9:$E$11,MATCH(C254,Paramètres!$D$9:$D$11,0)),0))</f>
        <v/>
      </c>
      <c r="L254" s="20" t="str">
        <f aca="false">IF(J254="","",J254*K254)</f>
        <v/>
      </c>
      <c r="M254" s="21" t="str">
        <f aca="false">IF(B254="","",IFERROR(INDEX(Propriétaires!$E$4:$E$13,MATCH(B254,Propriétaires!$A$4:$A$13,0)),0.2))</f>
        <v/>
      </c>
      <c r="N254" s="20" t="str">
        <f aca="false">IF(J254="","",(J254-L254)*M254)</f>
        <v/>
      </c>
      <c r="O254" s="20" t="str">
        <f aca="false">IF(J254="","",J254-L254-N254)</f>
        <v/>
      </c>
      <c r="P254" s="16"/>
      <c r="Q254" s="16"/>
      <c r="R254" s="16"/>
      <c r="S254" s="16"/>
      <c r="T254" s="14" t="str">
        <f aca="false">IF(F254="","",MONTH(F254))</f>
        <v/>
      </c>
      <c r="U254" s="14" t="str">
        <f aca="false">IF(F254="","",YEAR(F254))</f>
        <v/>
      </c>
    </row>
    <row r="255" customFormat="false" ht="15" hidden="false" customHeight="false" outlineLevel="0" collapsed="false">
      <c r="A255" s="16"/>
      <c r="B255" s="16"/>
      <c r="C255" s="16"/>
      <c r="D255" s="16"/>
      <c r="E255" s="16"/>
      <c r="F255" s="17"/>
      <c r="G255" s="17"/>
      <c r="H255" s="18" t="str">
        <f aca="false">IF(OR(F255="",G255=""),"",G255-F255)</f>
        <v/>
      </c>
      <c r="I255" s="19"/>
      <c r="J255" s="20" t="str">
        <f aca="false">IF(OR(H255="",I255=""),"",H255*I255)</f>
        <v/>
      </c>
      <c r="K255" s="21" t="str">
        <f aca="false">IF(C255="","",IFERROR(INDEX(Paramètres!$E$9:$E$11,MATCH(C255,Paramètres!$D$9:$D$11,0)),0))</f>
        <v/>
      </c>
      <c r="L255" s="20" t="str">
        <f aca="false">IF(J255="","",J255*K255)</f>
        <v/>
      </c>
      <c r="M255" s="21" t="str">
        <f aca="false">IF(B255="","",IFERROR(INDEX(Propriétaires!$E$4:$E$13,MATCH(B255,Propriétaires!$A$4:$A$13,0)),0.2))</f>
        <v/>
      </c>
      <c r="N255" s="20" t="str">
        <f aca="false">IF(J255="","",(J255-L255)*M255)</f>
        <v/>
      </c>
      <c r="O255" s="20" t="str">
        <f aca="false">IF(J255="","",J255-L255-N255)</f>
        <v/>
      </c>
      <c r="P255" s="16"/>
      <c r="Q255" s="16"/>
      <c r="R255" s="16"/>
      <c r="S255" s="16"/>
      <c r="T255" s="14" t="str">
        <f aca="false">IF(F255="","",MONTH(F255))</f>
        <v/>
      </c>
      <c r="U255" s="14" t="str">
        <f aca="false">IF(F255="","",YEAR(F255))</f>
        <v/>
      </c>
    </row>
    <row r="256" customFormat="false" ht="15" hidden="false" customHeight="false" outlineLevel="0" collapsed="false">
      <c r="A256" s="16"/>
      <c r="B256" s="16"/>
      <c r="C256" s="16"/>
      <c r="D256" s="16"/>
      <c r="E256" s="16"/>
      <c r="F256" s="17"/>
      <c r="G256" s="17"/>
      <c r="H256" s="18" t="str">
        <f aca="false">IF(OR(F256="",G256=""),"",G256-F256)</f>
        <v/>
      </c>
      <c r="I256" s="19"/>
      <c r="J256" s="20" t="str">
        <f aca="false">IF(OR(H256="",I256=""),"",H256*I256)</f>
        <v/>
      </c>
      <c r="K256" s="21" t="str">
        <f aca="false">IF(C256="","",IFERROR(INDEX(Paramètres!$E$9:$E$11,MATCH(C256,Paramètres!$D$9:$D$11,0)),0))</f>
        <v/>
      </c>
      <c r="L256" s="20" t="str">
        <f aca="false">IF(J256="","",J256*K256)</f>
        <v/>
      </c>
      <c r="M256" s="21" t="str">
        <f aca="false">IF(B256="","",IFERROR(INDEX(Propriétaires!$E$4:$E$13,MATCH(B256,Propriétaires!$A$4:$A$13,0)),0.2))</f>
        <v/>
      </c>
      <c r="N256" s="20" t="str">
        <f aca="false">IF(J256="","",(J256-L256)*M256)</f>
        <v/>
      </c>
      <c r="O256" s="20" t="str">
        <f aca="false">IF(J256="","",J256-L256-N256)</f>
        <v/>
      </c>
      <c r="P256" s="16"/>
      <c r="Q256" s="16"/>
      <c r="R256" s="16"/>
      <c r="S256" s="16"/>
      <c r="T256" s="14" t="str">
        <f aca="false">IF(F256="","",MONTH(F256))</f>
        <v/>
      </c>
      <c r="U256" s="14" t="str">
        <f aca="false">IF(F256="","",YEAR(F256))</f>
        <v/>
      </c>
    </row>
    <row r="257" customFormat="false" ht="15" hidden="false" customHeight="false" outlineLevel="0" collapsed="false">
      <c r="A257" s="16"/>
      <c r="B257" s="16"/>
      <c r="C257" s="16"/>
      <c r="D257" s="16"/>
      <c r="E257" s="16"/>
      <c r="F257" s="17"/>
      <c r="G257" s="17"/>
      <c r="H257" s="18" t="str">
        <f aca="false">IF(OR(F257="",G257=""),"",G257-F257)</f>
        <v/>
      </c>
      <c r="I257" s="19"/>
      <c r="J257" s="20" t="str">
        <f aca="false">IF(OR(H257="",I257=""),"",H257*I257)</f>
        <v/>
      </c>
      <c r="K257" s="21" t="str">
        <f aca="false">IF(C257="","",IFERROR(INDEX(Paramètres!$E$9:$E$11,MATCH(C257,Paramètres!$D$9:$D$11,0)),0))</f>
        <v/>
      </c>
      <c r="L257" s="20" t="str">
        <f aca="false">IF(J257="","",J257*K257)</f>
        <v/>
      </c>
      <c r="M257" s="21" t="str">
        <f aca="false">IF(B257="","",IFERROR(INDEX(Propriétaires!$E$4:$E$13,MATCH(B257,Propriétaires!$A$4:$A$13,0)),0.2))</f>
        <v/>
      </c>
      <c r="N257" s="20" t="str">
        <f aca="false">IF(J257="","",(J257-L257)*M257)</f>
        <v/>
      </c>
      <c r="O257" s="20" t="str">
        <f aca="false">IF(J257="","",J257-L257-N257)</f>
        <v/>
      </c>
      <c r="P257" s="16"/>
      <c r="Q257" s="16"/>
      <c r="R257" s="16"/>
      <c r="S257" s="16"/>
      <c r="T257" s="14" t="str">
        <f aca="false">IF(F257="","",MONTH(F257))</f>
        <v/>
      </c>
      <c r="U257" s="14" t="str">
        <f aca="false">IF(F257="","",YEAR(F257))</f>
        <v/>
      </c>
    </row>
    <row r="258" customFormat="false" ht="15" hidden="false" customHeight="false" outlineLevel="0" collapsed="false">
      <c r="A258" s="16"/>
      <c r="B258" s="16"/>
      <c r="C258" s="16"/>
      <c r="D258" s="16"/>
      <c r="E258" s="16"/>
      <c r="F258" s="17"/>
      <c r="G258" s="17"/>
      <c r="H258" s="18" t="str">
        <f aca="false">IF(OR(F258="",G258=""),"",G258-F258)</f>
        <v/>
      </c>
      <c r="I258" s="19"/>
      <c r="J258" s="20" t="str">
        <f aca="false">IF(OR(H258="",I258=""),"",H258*I258)</f>
        <v/>
      </c>
      <c r="K258" s="21" t="str">
        <f aca="false">IF(C258="","",IFERROR(INDEX(Paramètres!$E$9:$E$11,MATCH(C258,Paramètres!$D$9:$D$11,0)),0))</f>
        <v/>
      </c>
      <c r="L258" s="20" t="str">
        <f aca="false">IF(J258="","",J258*K258)</f>
        <v/>
      </c>
      <c r="M258" s="21" t="str">
        <f aca="false">IF(B258="","",IFERROR(INDEX(Propriétaires!$E$4:$E$13,MATCH(B258,Propriétaires!$A$4:$A$13,0)),0.2))</f>
        <v/>
      </c>
      <c r="N258" s="20" t="str">
        <f aca="false">IF(J258="","",(J258-L258)*M258)</f>
        <v/>
      </c>
      <c r="O258" s="20" t="str">
        <f aca="false">IF(J258="","",J258-L258-N258)</f>
        <v/>
      </c>
      <c r="P258" s="16"/>
      <c r="Q258" s="16"/>
      <c r="R258" s="16"/>
      <c r="S258" s="16"/>
      <c r="T258" s="14" t="str">
        <f aca="false">IF(F258="","",MONTH(F258))</f>
        <v/>
      </c>
      <c r="U258" s="14" t="str">
        <f aca="false">IF(F258="","",YEAR(F258))</f>
        <v/>
      </c>
    </row>
    <row r="259" customFormat="false" ht="15" hidden="false" customHeight="false" outlineLevel="0" collapsed="false">
      <c r="A259" s="16"/>
      <c r="B259" s="16"/>
      <c r="C259" s="16"/>
      <c r="D259" s="16"/>
      <c r="E259" s="16"/>
      <c r="F259" s="17"/>
      <c r="G259" s="17"/>
      <c r="H259" s="18" t="str">
        <f aca="false">IF(OR(F259="",G259=""),"",G259-F259)</f>
        <v/>
      </c>
      <c r="I259" s="19"/>
      <c r="J259" s="20" t="str">
        <f aca="false">IF(OR(H259="",I259=""),"",H259*I259)</f>
        <v/>
      </c>
      <c r="K259" s="21" t="str">
        <f aca="false">IF(C259="","",IFERROR(INDEX(Paramètres!$E$9:$E$11,MATCH(C259,Paramètres!$D$9:$D$11,0)),0))</f>
        <v/>
      </c>
      <c r="L259" s="20" t="str">
        <f aca="false">IF(J259="","",J259*K259)</f>
        <v/>
      </c>
      <c r="M259" s="21" t="str">
        <f aca="false">IF(B259="","",IFERROR(INDEX(Propriétaires!$E$4:$E$13,MATCH(B259,Propriétaires!$A$4:$A$13,0)),0.2))</f>
        <v/>
      </c>
      <c r="N259" s="20" t="str">
        <f aca="false">IF(J259="","",(J259-L259)*M259)</f>
        <v/>
      </c>
      <c r="O259" s="20" t="str">
        <f aca="false">IF(J259="","",J259-L259-N259)</f>
        <v/>
      </c>
      <c r="P259" s="16"/>
      <c r="Q259" s="16"/>
      <c r="R259" s="16"/>
      <c r="S259" s="16"/>
      <c r="T259" s="14" t="str">
        <f aca="false">IF(F259="","",MONTH(F259))</f>
        <v/>
      </c>
      <c r="U259" s="14" t="str">
        <f aca="false">IF(F259="","",YEAR(F259))</f>
        <v/>
      </c>
    </row>
    <row r="260" customFormat="false" ht="15" hidden="false" customHeight="false" outlineLevel="0" collapsed="false">
      <c r="A260" s="16"/>
      <c r="B260" s="16"/>
      <c r="C260" s="16"/>
      <c r="D260" s="16"/>
      <c r="E260" s="16"/>
      <c r="F260" s="17"/>
      <c r="G260" s="17"/>
      <c r="H260" s="18" t="str">
        <f aca="false">IF(OR(F260="",G260=""),"",G260-F260)</f>
        <v/>
      </c>
      <c r="I260" s="19"/>
      <c r="J260" s="20" t="str">
        <f aca="false">IF(OR(H260="",I260=""),"",H260*I260)</f>
        <v/>
      </c>
      <c r="K260" s="21" t="str">
        <f aca="false">IF(C260="","",IFERROR(INDEX(Paramètres!$E$9:$E$11,MATCH(C260,Paramètres!$D$9:$D$11,0)),0))</f>
        <v/>
      </c>
      <c r="L260" s="20" t="str">
        <f aca="false">IF(J260="","",J260*K260)</f>
        <v/>
      </c>
      <c r="M260" s="21" t="str">
        <f aca="false">IF(B260="","",IFERROR(INDEX(Propriétaires!$E$4:$E$13,MATCH(B260,Propriétaires!$A$4:$A$13,0)),0.2))</f>
        <v/>
      </c>
      <c r="N260" s="20" t="str">
        <f aca="false">IF(J260="","",(J260-L260)*M260)</f>
        <v/>
      </c>
      <c r="O260" s="20" t="str">
        <f aca="false">IF(J260="","",J260-L260-N260)</f>
        <v/>
      </c>
      <c r="P260" s="16"/>
      <c r="Q260" s="16"/>
      <c r="R260" s="16"/>
      <c r="S260" s="16"/>
      <c r="T260" s="14" t="str">
        <f aca="false">IF(F260="","",MONTH(F260))</f>
        <v/>
      </c>
      <c r="U260" s="14" t="str">
        <f aca="false">IF(F260="","",YEAR(F260))</f>
        <v/>
      </c>
    </row>
    <row r="261" customFormat="false" ht="15" hidden="false" customHeight="false" outlineLevel="0" collapsed="false">
      <c r="A261" s="16"/>
      <c r="B261" s="16"/>
      <c r="C261" s="16"/>
      <c r="D261" s="16"/>
      <c r="E261" s="16"/>
      <c r="F261" s="17"/>
      <c r="G261" s="17"/>
      <c r="H261" s="18" t="str">
        <f aca="false">IF(OR(F261="",G261=""),"",G261-F261)</f>
        <v/>
      </c>
      <c r="I261" s="19"/>
      <c r="J261" s="20" t="str">
        <f aca="false">IF(OR(H261="",I261=""),"",H261*I261)</f>
        <v/>
      </c>
      <c r="K261" s="21" t="str">
        <f aca="false">IF(C261="","",IFERROR(INDEX(Paramètres!$E$9:$E$11,MATCH(C261,Paramètres!$D$9:$D$11,0)),0))</f>
        <v/>
      </c>
      <c r="L261" s="20" t="str">
        <f aca="false">IF(J261="","",J261*K261)</f>
        <v/>
      </c>
      <c r="M261" s="21" t="str">
        <f aca="false">IF(B261="","",IFERROR(INDEX(Propriétaires!$E$4:$E$13,MATCH(B261,Propriétaires!$A$4:$A$13,0)),0.2))</f>
        <v/>
      </c>
      <c r="N261" s="20" t="str">
        <f aca="false">IF(J261="","",(J261-L261)*M261)</f>
        <v/>
      </c>
      <c r="O261" s="20" t="str">
        <f aca="false">IF(J261="","",J261-L261-N261)</f>
        <v/>
      </c>
      <c r="P261" s="16"/>
      <c r="Q261" s="16"/>
      <c r="R261" s="16"/>
      <c r="S261" s="16"/>
      <c r="T261" s="14" t="str">
        <f aca="false">IF(F261="","",MONTH(F261))</f>
        <v/>
      </c>
      <c r="U261" s="14" t="str">
        <f aca="false">IF(F261="","",YEAR(F261))</f>
        <v/>
      </c>
    </row>
    <row r="262" customFormat="false" ht="15" hidden="false" customHeight="false" outlineLevel="0" collapsed="false">
      <c r="A262" s="16"/>
      <c r="B262" s="16"/>
      <c r="C262" s="16"/>
      <c r="D262" s="16"/>
      <c r="E262" s="16"/>
      <c r="F262" s="17"/>
      <c r="G262" s="17"/>
      <c r="H262" s="18" t="str">
        <f aca="false">IF(OR(F262="",G262=""),"",G262-F262)</f>
        <v/>
      </c>
      <c r="I262" s="19"/>
      <c r="J262" s="20" t="str">
        <f aca="false">IF(OR(H262="",I262=""),"",H262*I262)</f>
        <v/>
      </c>
      <c r="K262" s="21" t="str">
        <f aca="false">IF(C262="","",IFERROR(INDEX(Paramètres!$E$9:$E$11,MATCH(C262,Paramètres!$D$9:$D$11,0)),0))</f>
        <v/>
      </c>
      <c r="L262" s="20" t="str">
        <f aca="false">IF(J262="","",J262*K262)</f>
        <v/>
      </c>
      <c r="M262" s="21" t="str">
        <f aca="false">IF(B262="","",IFERROR(INDEX(Propriétaires!$E$4:$E$13,MATCH(B262,Propriétaires!$A$4:$A$13,0)),0.2))</f>
        <v/>
      </c>
      <c r="N262" s="20" t="str">
        <f aca="false">IF(J262="","",(J262-L262)*M262)</f>
        <v/>
      </c>
      <c r="O262" s="20" t="str">
        <f aca="false">IF(J262="","",J262-L262-N262)</f>
        <v/>
      </c>
      <c r="P262" s="16"/>
      <c r="Q262" s="16"/>
      <c r="R262" s="16"/>
      <c r="S262" s="16"/>
      <c r="T262" s="14" t="str">
        <f aca="false">IF(F262="","",MONTH(F262))</f>
        <v/>
      </c>
      <c r="U262" s="14" t="str">
        <f aca="false">IF(F262="","",YEAR(F262))</f>
        <v/>
      </c>
    </row>
    <row r="263" customFormat="false" ht="15" hidden="false" customHeight="false" outlineLevel="0" collapsed="false">
      <c r="A263" s="16"/>
      <c r="B263" s="16"/>
      <c r="C263" s="16"/>
      <c r="D263" s="16"/>
      <c r="E263" s="16"/>
      <c r="F263" s="17"/>
      <c r="G263" s="17"/>
      <c r="H263" s="18" t="str">
        <f aca="false">IF(OR(F263="",G263=""),"",G263-F263)</f>
        <v/>
      </c>
      <c r="I263" s="19"/>
      <c r="J263" s="20" t="str">
        <f aca="false">IF(OR(H263="",I263=""),"",H263*I263)</f>
        <v/>
      </c>
      <c r="K263" s="21" t="str">
        <f aca="false">IF(C263="","",IFERROR(INDEX(Paramètres!$E$9:$E$11,MATCH(C263,Paramètres!$D$9:$D$11,0)),0))</f>
        <v/>
      </c>
      <c r="L263" s="20" t="str">
        <f aca="false">IF(J263="","",J263*K263)</f>
        <v/>
      </c>
      <c r="M263" s="21" t="str">
        <f aca="false">IF(B263="","",IFERROR(INDEX(Propriétaires!$E$4:$E$13,MATCH(B263,Propriétaires!$A$4:$A$13,0)),0.2))</f>
        <v/>
      </c>
      <c r="N263" s="20" t="str">
        <f aca="false">IF(J263="","",(J263-L263)*M263)</f>
        <v/>
      </c>
      <c r="O263" s="20" t="str">
        <f aca="false">IF(J263="","",J263-L263-N263)</f>
        <v/>
      </c>
      <c r="P263" s="16"/>
      <c r="Q263" s="16"/>
      <c r="R263" s="16"/>
      <c r="S263" s="16"/>
      <c r="T263" s="14" t="str">
        <f aca="false">IF(F263="","",MONTH(F263))</f>
        <v/>
      </c>
      <c r="U263" s="14" t="str">
        <f aca="false">IF(F263="","",YEAR(F263))</f>
        <v/>
      </c>
    </row>
    <row r="264" customFormat="false" ht="15" hidden="false" customHeight="false" outlineLevel="0" collapsed="false">
      <c r="A264" s="16"/>
      <c r="B264" s="16"/>
      <c r="C264" s="16"/>
      <c r="D264" s="16"/>
      <c r="E264" s="16"/>
      <c r="F264" s="17"/>
      <c r="G264" s="17"/>
      <c r="H264" s="18" t="str">
        <f aca="false">IF(OR(F264="",G264=""),"",G264-F264)</f>
        <v/>
      </c>
      <c r="I264" s="19"/>
      <c r="J264" s="20" t="str">
        <f aca="false">IF(OR(H264="",I264=""),"",H264*I264)</f>
        <v/>
      </c>
      <c r="K264" s="21" t="str">
        <f aca="false">IF(C264="","",IFERROR(INDEX(Paramètres!$E$9:$E$11,MATCH(C264,Paramètres!$D$9:$D$11,0)),0))</f>
        <v/>
      </c>
      <c r="L264" s="20" t="str">
        <f aca="false">IF(J264="","",J264*K264)</f>
        <v/>
      </c>
      <c r="M264" s="21" t="str">
        <f aca="false">IF(B264="","",IFERROR(INDEX(Propriétaires!$E$4:$E$13,MATCH(B264,Propriétaires!$A$4:$A$13,0)),0.2))</f>
        <v/>
      </c>
      <c r="N264" s="20" t="str">
        <f aca="false">IF(J264="","",(J264-L264)*M264)</f>
        <v/>
      </c>
      <c r="O264" s="20" t="str">
        <f aca="false">IF(J264="","",J264-L264-N264)</f>
        <v/>
      </c>
      <c r="P264" s="16"/>
      <c r="Q264" s="16"/>
      <c r="R264" s="16"/>
      <c r="S264" s="16"/>
      <c r="T264" s="14" t="str">
        <f aca="false">IF(F264="","",MONTH(F264))</f>
        <v/>
      </c>
      <c r="U264" s="14" t="str">
        <f aca="false">IF(F264="","",YEAR(F264))</f>
        <v/>
      </c>
    </row>
    <row r="265" customFormat="false" ht="15" hidden="false" customHeight="false" outlineLevel="0" collapsed="false">
      <c r="A265" s="16"/>
      <c r="B265" s="16"/>
      <c r="C265" s="16"/>
      <c r="D265" s="16"/>
      <c r="E265" s="16"/>
      <c r="F265" s="17"/>
      <c r="G265" s="17"/>
      <c r="H265" s="18" t="str">
        <f aca="false">IF(OR(F265="",G265=""),"",G265-F265)</f>
        <v/>
      </c>
      <c r="I265" s="19"/>
      <c r="J265" s="20" t="str">
        <f aca="false">IF(OR(H265="",I265=""),"",H265*I265)</f>
        <v/>
      </c>
      <c r="K265" s="21" t="str">
        <f aca="false">IF(C265="","",IFERROR(INDEX(Paramètres!$E$9:$E$11,MATCH(C265,Paramètres!$D$9:$D$11,0)),0))</f>
        <v/>
      </c>
      <c r="L265" s="20" t="str">
        <f aca="false">IF(J265="","",J265*K265)</f>
        <v/>
      </c>
      <c r="M265" s="21" t="str">
        <f aca="false">IF(B265="","",IFERROR(INDEX(Propriétaires!$E$4:$E$13,MATCH(B265,Propriétaires!$A$4:$A$13,0)),0.2))</f>
        <v/>
      </c>
      <c r="N265" s="20" t="str">
        <f aca="false">IF(J265="","",(J265-L265)*M265)</f>
        <v/>
      </c>
      <c r="O265" s="20" t="str">
        <f aca="false">IF(J265="","",J265-L265-N265)</f>
        <v/>
      </c>
      <c r="P265" s="16"/>
      <c r="Q265" s="16"/>
      <c r="R265" s="16"/>
      <c r="S265" s="16"/>
      <c r="T265" s="14" t="str">
        <f aca="false">IF(F265="","",MONTH(F265))</f>
        <v/>
      </c>
      <c r="U265" s="14" t="str">
        <f aca="false">IF(F265="","",YEAR(F265))</f>
        <v/>
      </c>
    </row>
    <row r="266" customFormat="false" ht="15" hidden="false" customHeight="false" outlineLevel="0" collapsed="false">
      <c r="A266" s="16"/>
      <c r="B266" s="16"/>
      <c r="C266" s="16"/>
      <c r="D266" s="16"/>
      <c r="E266" s="16"/>
      <c r="F266" s="17"/>
      <c r="G266" s="17"/>
      <c r="H266" s="18" t="str">
        <f aca="false">IF(OR(F266="",G266=""),"",G266-F266)</f>
        <v/>
      </c>
      <c r="I266" s="19"/>
      <c r="J266" s="20" t="str">
        <f aca="false">IF(OR(H266="",I266=""),"",H266*I266)</f>
        <v/>
      </c>
      <c r="K266" s="21" t="str">
        <f aca="false">IF(C266="","",IFERROR(INDEX(Paramètres!$E$9:$E$11,MATCH(C266,Paramètres!$D$9:$D$11,0)),0))</f>
        <v/>
      </c>
      <c r="L266" s="20" t="str">
        <f aca="false">IF(J266="","",J266*K266)</f>
        <v/>
      </c>
      <c r="M266" s="21" t="str">
        <f aca="false">IF(B266="","",IFERROR(INDEX(Propriétaires!$E$4:$E$13,MATCH(B266,Propriétaires!$A$4:$A$13,0)),0.2))</f>
        <v/>
      </c>
      <c r="N266" s="20" t="str">
        <f aca="false">IF(J266="","",(J266-L266)*M266)</f>
        <v/>
      </c>
      <c r="O266" s="20" t="str">
        <f aca="false">IF(J266="","",J266-L266-N266)</f>
        <v/>
      </c>
      <c r="P266" s="16"/>
      <c r="Q266" s="16"/>
      <c r="R266" s="16"/>
      <c r="S266" s="16"/>
      <c r="T266" s="14" t="str">
        <f aca="false">IF(F266="","",MONTH(F266))</f>
        <v/>
      </c>
      <c r="U266" s="14" t="str">
        <f aca="false">IF(F266="","",YEAR(F266))</f>
        <v/>
      </c>
    </row>
    <row r="267" customFormat="false" ht="15" hidden="false" customHeight="false" outlineLevel="0" collapsed="false">
      <c r="A267" s="16"/>
      <c r="B267" s="16"/>
      <c r="C267" s="16"/>
      <c r="D267" s="16"/>
      <c r="E267" s="16"/>
      <c r="F267" s="17"/>
      <c r="G267" s="17"/>
      <c r="H267" s="18" t="str">
        <f aca="false">IF(OR(F267="",G267=""),"",G267-F267)</f>
        <v/>
      </c>
      <c r="I267" s="19"/>
      <c r="J267" s="20" t="str">
        <f aca="false">IF(OR(H267="",I267=""),"",H267*I267)</f>
        <v/>
      </c>
      <c r="K267" s="21" t="str">
        <f aca="false">IF(C267="","",IFERROR(INDEX(Paramètres!$E$9:$E$11,MATCH(C267,Paramètres!$D$9:$D$11,0)),0))</f>
        <v/>
      </c>
      <c r="L267" s="20" t="str">
        <f aca="false">IF(J267="","",J267*K267)</f>
        <v/>
      </c>
      <c r="M267" s="21" t="str">
        <f aca="false">IF(B267="","",IFERROR(INDEX(Propriétaires!$E$4:$E$13,MATCH(B267,Propriétaires!$A$4:$A$13,0)),0.2))</f>
        <v/>
      </c>
      <c r="N267" s="20" t="str">
        <f aca="false">IF(J267="","",(J267-L267)*M267)</f>
        <v/>
      </c>
      <c r="O267" s="20" t="str">
        <f aca="false">IF(J267="","",J267-L267-N267)</f>
        <v/>
      </c>
      <c r="P267" s="16"/>
      <c r="Q267" s="16"/>
      <c r="R267" s="16"/>
      <c r="S267" s="16"/>
      <c r="T267" s="14" t="str">
        <f aca="false">IF(F267="","",MONTH(F267))</f>
        <v/>
      </c>
      <c r="U267" s="14" t="str">
        <f aca="false">IF(F267="","",YEAR(F267))</f>
        <v/>
      </c>
    </row>
    <row r="268" customFormat="false" ht="15" hidden="false" customHeight="false" outlineLevel="0" collapsed="false">
      <c r="A268" s="16"/>
      <c r="B268" s="16"/>
      <c r="C268" s="16"/>
      <c r="D268" s="16"/>
      <c r="E268" s="16"/>
      <c r="F268" s="17"/>
      <c r="G268" s="17"/>
      <c r="H268" s="18" t="str">
        <f aca="false">IF(OR(F268="",G268=""),"",G268-F268)</f>
        <v/>
      </c>
      <c r="I268" s="19"/>
      <c r="J268" s="20" t="str">
        <f aca="false">IF(OR(H268="",I268=""),"",H268*I268)</f>
        <v/>
      </c>
      <c r="K268" s="21" t="str">
        <f aca="false">IF(C268="","",IFERROR(INDEX(Paramètres!$E$9:$E$11,MATCH(C268,Paramètres!$D$9:$D$11,0)),0))</f>
        <v/>
      </c>
      <c r="L268" s="20" t="str">
        <f aca="false">IF(J268="","",J268*K268)</f>
        <v/>
      </c>
      <c r="M268" s="21" t="str">
        <f aca="false">IF(B268="","",IFERROR(INDEX(Propriétaires!$E$4:$E$13,MATCH(B268,Propriétaires!$A$4:$A$13,0)),0.2))</f>
        <v/>
      </c>
      <c r="N268" s="20" t="str">
        <f aca="false">IF(J268="","",(J268-L268)*M268)</f>
        <v/>
      </c>
      <c r="O268" s="20" t="str">
        <f aca="false">IF(J268="","",J268-L268-N268)</f>
        <v/>
      </c>
      <c r="P268" s="16"/>
      <c r="Q268" s="16"/>
      <c r="R268" s="16"/>
      <c r="S268" s="16"/>
      <c r="T268" s="14" t="str">
        <f aca="false">IF(F268="","",MONTH(F268))</f>
        <v/>
      </c>
      <c r="U268" s="14" t="str">
        <f aca="false">IF(F268="","",YEAR(F268))</f>
        <v/>
      </c>
    </row>
    <row r="269" customFormat="false" ht="15" hidden="false" customHeight="false" outlineLevel="0" collapsed="false">
      <c r="A269" s="16"/>
      <c r="B269" s="16"/>
      <c r="C269" s="16"/>
      <c r="D269" s="16"/>
      <c r="E269" s="16"/>
      <c r="F269" s="17"/>
      <c r="G269" s="17"/>
      <c r="H269" s="18" t="str">
        <f aca="false">IF(OR(F269="",G269=""),"",G269-F269)</f>
        <v/>
      </c>
      <c r="I269" s="19"/>
      <c r="J269" s="20" t="str">
        <f aca="false">IF(OR(H269="",I269=""),"",H269*I269)</f>
        <v/>
      </c>
      <c r="K269" s="21" t="str">
        <f aca="false">IF(C269="","",IFERROR(INDEX(Paramètres!$E$9:$E$11,MATCH(C269,Paramètres!$D$9:$D$11,0)),0))</f>
        <v/>
      </c>
      <c r="L269" s="20" t="str">
        <f aca="false">IF(J269="","",J269*K269)</f>
        <v/>
      </c>
      <c r="M269" s="21" t="str">
        <f aca="false">IF(B269="","",IFERROR(INDEX(Propriétaires!$E$4:$E$13,MATCH(B269,Propriétaires!$A$4:$A$13,0)),0.2))</f>
        <v/>
      </c>
      <c r="N269" s="20" t="str">
        <f aca="false">IF(J269="","",(J269-L269)*M269)</f>
        <v/>
      </c>
      <c r="O269" s="20" t="str">
        <f aca="false">IF(J269="","",J269-L269-N269)</f>
        <v/>
      </c>
      <c r="P269" s="16"/>
      <c r="Q269" s="16"/>
      <c r="R269" s="16"/>
      <c r="S269" s="16"/>
      <c r="T269" s="14" t="str">
        <f aca="false">IF(F269="","",MONTH(F269))</f>
        <v/>
      </c>
      <c r="U269" s="14" t="str">
        <f aca="false">IF(F269="","",YEAR(F269))</f>
        <v/>
      </c>
    </row>
    <row r="270" customFormat="false" ht="15" hidden="false" customHeight="false" outlineLevel="0" collapsed="false">
      <c r="A270" s="16"/>
      <c r="B270" s="16"/>
      <c r="C270" s="16"/>
      <c r="D270" s="16"/>
      <c r="E270" s="16"/>
      <c r="F270" s="17"/>
      <c r="G270" s="17"/>
      <c r="H270" s="18" t="str">
        <f aca="false">IF(OR(F270="",G270=""),"",G270-F270)</f>
        <v/>
      </c>
      <c r="I270" s="19"/>
      <c r="J270" s="20" t="str">
        <f aca="false">IF(OR(H270="",I270=""),"",H270*I270)</f>
        <v/>
      </c>
      <c r="K270" s="21" t="str">
        <f aca="false">IF(C270="","",IFERROR(INDEX(Paramètres!$E$9:$E$11,MATCH(C270,Paramètres!$D$9:$D$11,0)),0))</f>
        <v/>
      </c>
      <c r="L270" s="20" t="str">
        <f aca="false">IF(J270="","",J270*K270)</f>
        <v/>
      </c>
      <c r="M270" s="21" t="str">
        <f aca="false">IF(B270="","",IFERROR(INDEX(Propriétaires!$E$4:$E$13,MATCH(B270,Propriétaires!$A$4:$A$13,0)),0.2))</f>
        <v/>
      </c>
      <c r="N270" s="20" t="str">
        <f aca="false">IF(J270="","",(J270-L270)*M270)</f>
        <v/>
      </c>
      <c r="O270" s="20" t="str">
        <f aca="false">IF(J270="","",J270-L270-N270)</f>
        <v/>
      </c>
      <c r="P270" s="16"/>
      <c r="Q270" s="16"/>
      <c r="R270" s="16"/>
      <c r="S270" s="16"/>
      <c r="T270" s="14" t="str">
        <f aca="false">IF(F270="","",MONTH(F270))</f>
        <v/>
      </c>
      <c r="U270" s="14" t="str">
        <f aca="false">IF(F270="","",YEAR(F270))</f>
        <v/>
      </c>
    </row>
    <row r="271" customFormat="false" ht="15" hidden="false" customHeight="false" outlineLevel="0" collapsed="false">
      <c r="A271" s="16"/>
      <c r="B271" s="16"/>
      <c r="C271" s="16"/>
      <c r="D271" s="16"/>
      <c r="E271" s="16"/>
      <c r="F271" s="17"/>
      <c r="G271" s="17"/>
      <c r="H271" s="18" t="str">
        <f aca="false">IF(OR(F271="",G271=""),"",G271-F271)</f>
        <v/>
      </c>
      <c r="I271" s="19"/>
      <c r="J271" s="20" t="str">
        <f aca="false">IF(OR(H271="",I271=""),"",H271*I271)</f>
        <v/>
      </c>
      <c r="K271" s="21" t="str">
        <f aca="false">IF(C271="","",IFERROR(INDEX(Paramètres!$E$9:$E$11,MATCH(C271,Paramètres!$D$9:$D$11,0)),0))</f>
        <v/>
      </c>
      <c r="L271" s="20" t="str">
        <f aca="false">IF(J271="","",J271*K271)</f>
        <v/>
      </c>
      <c r="M271" s="21" t="str">
        <f aca="false">IF(B271="","",IFERROR(INDEX(Propriétaires!$E$4:$E$13,MATCH(B271,Propriétaires!$A$4:$A$13,0)),0.2))</f>
        <v/>
      </c>
      <c r="N271" s="20" t="str">
        <f aca="false">IF(J271="","",(J271-L271)*M271)</f>
        <v/>
      </c>
      <c r="O271" s="20" t="str">
        <f aca="false">IF(J271="","",J271-L271-N271)</f>
        <v/>
      </c>
      <c r="P271" s="16"/>
      <c r="Q271" s="16"/>
      <c r="R271" s="16"/>
      <c r="S271" s="16"/>
      <c r="T271" s="14" t="str">
        <f aca="false">IF(F271="","",MONTH(F271))</f>
        <v/>
      </c>
      <c r="U271" s="14" t="str">
        <f aca="false">IF(F271="","",YEAR(F271))</f>
        <v/>
      </c>
    </row>
    <row r="272" customFormat="false" ht="15" hidden="false" customHeight="false" outlineLevel="0" collapsed="false">
      <c r="A272" s="16"/>
      <c r="B272" s="16"/>
      <c r="C272" s="16"/>
      <c r="D272" s="16"/>
      <c r="E272" s="16"/>
      <c r="F272" s="17"/>
      <c r="G272" s="17"/>
      <c r="H272" s="18" t="str">
        <f aca="false">IF(OR(F272="",G272=""),"",G272-F272)</f>
        <v/>
      </c>
      <c r="I272" s="19"/>
      <c r="J272" s="20" t="str">
        <f aca="false">IF(OR(H272="",I272=""),"",H272*I272)</f>
        <v/>
      </c>
      <c r="K272" s="21" t="str">
        <f aca="false">IF(C272="","",IFERROR(INDEX(Paramètres!$E$9:$E$11,MATCH(C272,Paramètres!$D$9:$D$11,0)),0))</f>
        <v/>
      </c>
      <c r="L272" s="20" t="str">
        <f aca="false">IF(J272="","",J272*K272)</f>
        <v/>
      </c>
      <c r="M272" s="21" t="str">
        <f aca="false">IF(B272="","",IFERROR(INDEX(Propriétaires!$E$4:$E$13,MATCH(B272,Propriétaires!$A$4:$A$13,0)),0.2))</f>
        <v/>
      </c>
      <c r="N272" s="20" t="str">
        <f aca="false">IF(J272="","",(J272-L272)*M272)</f>
        <v/>
      </c>
      <c r="O272" s="20" t="str">
        <f aca="false">IF(J272="","",J272-L272-N272)</f>
        <v/>
      </c>
      <c r="P272" s="16"/>
      <c r="Q272" s="16"/>
      <c r="R272" s="16"/>
      <c r="S272" s="16"/>
      <c r="T272" s="14" t="str">
        <f aca="false">IF(F272="","",MONTH(F272))</f>
        <v/>
      </c>
      <c r="U272" s="14" t="str">
        <f aca="false">IF(F272="","",YEAR(F272))</f>
        <v/>
      </c>
    </row>
    <row r="273" customFormat="false" ht="15" hidden="false" customHeight="false" outlineLevel="0" collapsed="false">
      <c r="A273" s="16"/>
      <c r="B273" s="16"/>
      <c r="C273" s="16"/>
      <c r="D273" s="16"/>
      <c r="E273" s="16"/>
      <c r="F273" s="17"/>
      <c r="G273" s="17"/>
      <c r="H273" s="18" t="str">
        <f aca="false">IF(OR(F273="",G273=""),"",G273-F273)</f>
        <v/>
      </c>
      <c r="I273" s="19"/>
      <c r="J273" s="20" t="str">
        <f aca="false">IF(OR(H273="",I273=""),"",H273*I273)</f>
        <v/>
      </c>
      <c r="K273" s="21" t="str">
        <f aca="false">IF(C273="","",IFERROR(INDEX(Paramètres!$E$9:$E$11,MATCH(C273,Paramètres!$D$9:$D$11,0)),0))</f>
        <v/>
      </c>
      <c r="L273" s="20" t="str">
        <f aca="false">IF(J273="","",J273*K273)</f>
        <v/>
      </c>
      <c r="M273" s="21" t="str">
        <f aca="false">IF(B273="","",IFERROR(INDEX(Propriétaires!$E$4:$E$13,MATCH(B273,Propriétaires!$A$4:$A$13,0)),0.2))</f>
        <v/>
      </c>
      <c r="N273" s="20" t="str">
        <f aca="false">IF(J273="","",(J273-L273)*M273)</f>
        <v/>
      </c>
      <c r="O273" s="20" t="str">
        <f aca="false">IF(J273="","",J273-L273-N273)</f>
        <v/>
      </c>
      <c r="P273" s="16"/>
      <c r="Q273" s="16"/>
      <c r="R273" s="16"/>
      <c r="S273" s="16"/>
      <c r="T273" s="14" t="str">
        <f aca="false">IF(F273="","",MONTH(F273))</f>
        <v/>
      </c>
      <c r="U273" s="14" t="str">
        <f aca="false">IF(F273="","",YEAR(F273))</f>
        <v/>
      </c>
    </row>
    <row r="274" customFormat="false" ht="15" hidden="false" customHeight="false" outlineLevel="0" collapsed="false">
      <c r="A274" s="16"/>
      <c r="B274" s="16"/>
      <c r="C274" s="16"/>
      <c r="D274" s="16"/>
      <c r="E274" s="16"/>
      <c r="F274" s="17"/>
      <c r="G274" s="17"/>
      <c r="H274" s="18" t="str">
        <f aca="false">IF(OR(F274="",G274=""),"",G274-F274)</f>
        <v/>
      </c>
      <c r="I274" s="19"/>
      <c r="J274" s="20" t="str">
        <f aca="false">IF(OR(H274="",I274=""),"",H274*I274)</f>
        <v/>
      </c>
      <c r="K274" s="21" t="str">
        <f aca="false">IF(C274="","",IFERROR(INDEX(Paramètres!$E$9:$E$11,MATCH(C274,Paramètres!$D$9:$D$11,0)),0))</f>
        <v/>
      </c>
      <c r="L274" s="20" t="str">
        <f aca="false">IF(J274="","",J274*K274)</f>
        <v/>
      </c>
      <c r="M274" s="21" t="str">
        <f aca="false">IF(B274="","",IFERROR(INDEX(Propriétaires!$E$4:$E$13,MATCH(B274,Propriétaires!$A$4:$A$13,0)),0.2))</f>
        <v/>
      </c>
      <c r="N274" s="20" t="str">
        <f aca="false">IF(J274="","",(J274-L274)*M274)</f>
        <v/>
      </c>
      <c r="O274" s="20" t="str">
        <f aca="false">IF(J274="","",J274-L274-N274)</f>
        <v/>
      </c>
      <c r="P274" s="16"/>
      <c r="Q274" s="16"/>
      <c r="R274" s="16"/>
      <c r="S274" s="16"/>
      <c r="T274" s="14" t="str">
        <f aca="false">IF(F274="","",MONTH(F274))</f>
        <v/>
      </c>
      <c r="U274" s="14" t="str">
        <f aca="false">IF(F274="","",YEAR(F274))</f>
        <v/>
      </c>
    </row>
    <row r="275" customFormat="false" ht="15" hidden="false" customHeight="false" outlineLevel="0" collapsed="false">
      <c r="A275" s="16"/>
      <c r="B275" s="16"/>
      <c r="C275" s="16"/>
      <c r="D275" s="16"/>
      <c r="E275" s="16"/>
      <c r="F275" s="17"/>
      <c r="G275" s="17"/>
      <c r="H275" s="18" t="str">
        <f aca="false">IF(OR(F275="",G275=""),"",G275-F275)</f>
        <v/>
      </c>
      <c r="I275" s="19"/>
      <c r="J275" s="20" t="str">
        <f aca="false">IF(OR(H275="",I275=""),"",H275*I275)</f>
        <v/>
      </c>
      <c r="K275" s="21" t="str">
        <f aca="false">IF(C275="","",IFERROR(INDEX(Paramètres!$E$9:$E$11,MATCH(C275,Paramètres!$D$9:$D$11,0)),0))</f>
        <v/>
      </c>
      <c r="L275" s="20" t="str">
        <f aca="false">IF(J275="","",J275*K275)</f>
        <v/>
      </c>
      <c r="M275" s="21" t="str">
        <f aca="false">IF(B275="","",IFERROR(INDEX(Propriétaires!$E$4:$E$13,MATCH(B275,Propriétaires!$A$4:$A$13,0)),0.2))</f>
        <v/>
      </c>
      <c r="N275" s="20" t="str">
        <f aca="false">IF(J275="","",(J275-L275)*M275)</f>
        <v/>
      </c>
      <c r="O275" s="20" t="str">
        <f aca="false">IF(J275="","",J275-L275-N275)</f>
        <v/>
      </c>
      <c r="P275" s="16"/>
      <c r="Q275" s="16"/>
      <c r="R275" s="16"/>
      <c r="S275" s="16"/>
      <c r="T275" s="14" t="str">
        <f aca="false">IF(F275="","",MONTH(F275))</f>
        <v/>
      </c>
      <c r="U275" s="14" t="str">
        <f aca="false">IF(F275="","",YEAR(F275))</f>
        <v/>
      </c>
    </row>
    <row r="276" customFormat="false" ht="15" hidden="false" customHeight="false" outlineLevel="0" collapsed="false">
      <c r="A276" s="16"/>
      <c r="B276" s="16"/>
      <c r="C276" s="16"/>
      <c r="D276" s="16"/>
      <c r="E276" s="16"/>
      <c r="F276" s="17"/>
      <c r="G276" s="17"/>
      <c r="H276" s="18" t="str">
        <f aca="false">IF(OR(F276="",G276=""),"",G276-F276)</f>
        <v/>
      </c>
      <c r="I276" s="19"/>
      <c r="J276" s="20" t="str">
        <f aca="false">IF(OR(H276="",I276=""),"",H276*I276)</f>
        <v/>
      </c>
      <c r="K276" s="21" t="str">
        <f aca="false">IF(C276="","",IFERROR(INDEX(Paramètres!$E$9:$E$11,MATCH(C276,Paramètres!$D$9:$D$11,0)),0))</f>
        <v/>
      </c>
      <c r="L276" s="20" t="str">
        <f aca="false">IF(J276="","",J276*K276)</f>
        <v/>
      </c>
      <c r="M276" s="21" t="str">
        <f aca="false">IF(B276="","",IFERROR(INDEX(Propriétaires!$E$4:$E$13,MATCH(B276,Propriétaires!$A$4:$A$13,0)),0.2))</f>
        <v/>
      </c>
      <c r="N276" s="20" t="str">
        <f aca="false">IF(J276="","",(J276-L276)*M276)</f>
        <v/>
      </c>
      <c r="O276" s="20" t="str">
        <f aca="false">IF(J276="","",J276-L276-N276)</f>
        <v/>
      </c>
      <c r="P276" s="16"/>
      <c r="Q276" s="16"/>
      <c r="R276" s="16"/>
      <c r="S276" s="16"/>
      <c r="T276" s="14" t="str">
        <f aca="false">IF(F276="","",MONTH(F276))</f>
        <v/>
      </c>
      <c r="U276" s="14" t="str">
        <f aca="false">IF(F276="","",YEAR(F276))</f>
        <v/>
      </c>
    </row>
    <row r="277" customFormat="false" ht="15" hidden="false" customHeight="false" outlineLevel="0" collapsed="false">
      <c r="A277" s="16"/>
      <c r="B277" s="16"/>
      <c r="C277" s="16"/>
      <c r="D277" s="16"/>
      <c r="E277" s="16"/>
      <c r="F277" s="17"/>
      <c r="G277" s="17"/>
      <c r="H277" s="18" t="str">
        <f aca="false">IF(OR(F277="",G277=""),"",G277-F277)</f>
        <v/>
      </c>
      <c r="I277" s="19"/>
      <c r="J277" s="20" t="str">
        <f aca="false">IF(OR(H277="",I277=""),"",H277*I277)</f>
        <v/>
      </c>
      <c r="K277" s="21" t="str">
        <f aca="false">IF(C277="","",IFERROR(INDEX(Paramètres!$E$9:$E$11,MATCH(C277,Paramètres!$D$9:$D$11,0)),0))</f>
        <v/>
      </c>
      <c r="L277" s="20" t="str">
        <f aca="false">IF(J277="","",J277*K277)</f>
        <v/>
      </c>
      <c r="M277" s="21" t="str">
        <f aca="false">IF(B277="","",IFERROR(INDEX(Propriétaires!$E$4:$E$13,MATCH(B277,Propriétaires!$A$4:$A$13,0)),0.2))</f>
        <v/>
      </c>
      <c r="N277" s="20" t="str">
        <f aca="false">IF(J277="","",(J277-L277)*M277)</f>
        <v/>
      </c>
      <c r="O277" s="20" t="str">
        <f aca="false">IF(J277="","",J277-L277-N277)</f>
        <v/>
      </c>
      <c r="P277" s="16"/>
      <c r="Q277" s="16"/>
      <c r="R277" s="16"/>
      <c r="S277" s="16"/>
      <c r="T277" s="14" t="str">
        <f aca="false">IF(F277="","",MONTH(F277))</f>
        <v/>
      </c>
      <c r="U277" s="14" t="str">
        <f aca="false">IF(F277="","",YEAR(F277))</f>
        <v/>
      </c>
    </row>
    <row r="278" customFormat="false" ht="15" hidden="false" customHeight="false" outlineLevel="0" collapsed="false">
      <c r="A278" s="16"/>
      <c r="B278" s="16"/>
      <c r="C278" s="16"/>
      <c r="D278" s="16"/>
      <c r="E278" s="16"/>
      <c r="F278" s="17"/>
      <c r="G278" s="17"/>
      <c r="H278" s="18" t="str">
        <f aca="false">IF(OR(F278="",G278=""),"",G278-F278)</f>
        <v/>
      </c>
      <c r="I278" s="19"/>
      <c r="J278" s="20" t="str">
        <f aca="false">IF(OR(H278="",I278=""),"",H278*I278)</f>
        <v/>
      </c>
      <c r="K278" s="21" t="str">
        <f aca="false">IF(C278="","",IFERROR(INDEX(Paramètres!$E$9:$E$11,MATCH(C278,Paramètres!$D$9:$D$11,0)),0))</f>
        <v/>
      </c>
      <c r="L278" s="20" t="str">
        <f aca="false">IF(J278="","",J278*K278)</f>
        <v/>
      </c>
      <c r="M278" s="21" t="str">
        <f aca="false">IF(B278="","",IFERROR(INDEX(Propriétaires!$E$4:$E$13,MATCH(B278,Propriétaires!$A$4:$A$13,0)),0.2))</f>
        <v/>
      </c>
      <c r="N278" s="20" t="str">
        <f aca="false">IF(J278="","",(J278-L278)*M278)</f>
        <v/>
      </c>
      <c r="O278" s="20" t="str">
        <f aca="false">IF(J278="","",J278-L278-N278)</f>
        <v/>
      </c>
      <c r="P278" s="16"/>
      <c r="Q278" s="16"/>
      <c r="R278" s="16"/>
      <c r="S278" s="16"/>
      <c r="T278" s="14" t="str">
        <f aca="false">IF(F278="","",MONTH(F278))</f>
        <v/>
      </c>
      <c r="U278" s="14" t="str">
        <f aca="false">IF(F278="","",YEAR(F278))</f>
        <v/>
      </c>
    </row>
    <row r="279" customFormat="false" ht="15" hidden="false" customHeight="false" outlineLevel="0" collapsed="false">
      <c r="A279" s="16"/>
      <c r="B279" s="16"/>
      <c r="C279" s="16"/>
      <c r="D279" s="16"/>
      <c r="E279" s="16"/>
      <c r="F279" s="17"/>
      <c r="G279" s="17"/>
      <c r="H279" s="18" t="str">
        <f aca="false">IF(OR(F279="",G279=""),"",G279-F279)</f>
        <v/>
      </c>
      <c r="I279" s="19"/>
      <c r="J279" s="20" t="str">
        <f aca="false">IF(OR(H279="",I279=""),"",H279*I279)</f>
        <v/>
      </c>
      <c r="K279" s="21" t="str">
        <f aca="false">IF(C279="","",IFERROR(INDEX(Paramètres!$E$9:$E$11,MATCH(C279,Paramètres!$D$9:$D$11,0)),0))</f>
        <v/>
      </c>
      <c r="L279" s="20" t="str">
        <f aca="false">IF(J279="","",J279*K279)</f>
        <v/>
      </c>
      <c r="M279" s="21" t="str">
        <f aca="false">IF(B279="","",IFERROR(INDEX(Propriétaires!$E$4:$E$13,MATCH(B279,Propriétaires!$A$4:$A$13,0)),0.2))</f>
        <v/>
      </c>
      <c r="N279" s="20" t="str">
        <f aca="false">IF(J279="","",(J279-L279)*M279)</f>
        <v/>
      </c>
      <c r="O279" s="20" t="str">
        <f aca="false">IF(J279="","",J279-L279-N279)</f>
        <v/>
      </c>
      <c r="P279" s="16"/>
      <c r="Q279" s="16"/>
      <c r="R279" s="16"/>
      <c r="S279" s="16"/>
      <c r="T279" s="14" t="str">
        <f aca="false">IF(F279="","",MONTH(F279))</f>
        <v/>
      </c>
      <c r="U279" s="14" t="str">
        <f aca="false">IF(F279="","",YEAR(F279))</f>
        <v/>
      </c>
    </row>
    <row r="280" customFormat="false" ht="15" hidden="false" customHeight="false" outlineLevel="0" collapsed="false">
      <c r="A280" s="16"/>
      <c r="B280" s="16"/>
      <c r="C280" s="16"/>
      <c r="D280" s="16"/>
      <c r="E280" s="16"/>
      <c r="F280" s="17"/>
      <c r="G280" s="17"/>
      <c r="H280" s="18" t="str">
        <f aca="false">IF(OR(F280="",G280=""),"",G280-F280)</f>
        <v/>
      </c>
      <c r="I280" s="19"/>
      <c r="J280" s="20" t="str">
        <f aca="false">IF(OR(H280="",I280=""),"",H280*I280)</f>
        <v/>
      </c>
      <c r="K280" s="21" t="str">
        <f aca="false">IF(C280="","",IFERROR(INDEX(Paramètres!$E$9:$E$11,MATCH(C280,Paramètres!$D$9:$D$11,0)),0))</f>
        <v/>
      </c>
      <c r="L280" s="20" t="str">
        <f aca="false">IF(J280="","",J280*K280)</f>
        <v/>
      </c>
      <c r="M280" s="21" t="str">
        <f aca="false">IF(B280="","",IFERROR(INDEX(Propriétaires!$E$4:$E$13,MATCH(B280,Propriétaires!$A$4:$A$13,0)),0.2))</f>
        <v/>
      </c>
      <c r="N280" s="20" t="str">
        <f aca="false">IF(J280="","",(J280-L280)*M280)</f>
        <v/>
      </c>
      <c r="O280" s="20" t="str">
        <f aca="false">IF(J280="","",J280-L280-N280)</f>
        <v/>
      </c>
      <c r="P280" s="16"/>
      <c r="Q280" s="16"/>
      <c r="R280" s="16"/>
      <c r="S280" s="16"/>
      <c r="T280" s="14" t="str">
        <f aca="false">IF(F280="","",MONTH(F280))</f>
        <v/>
      </c>
      <c r="U280" s="14" t="str">
        <f aca="false">IF(F280="","",YEAR(F280))</f>
        <v/>
      </c>
    </row>
    <row r="281" customFormat="false" ht="15" hidden="false" customHeight="false" outlineLevel="0" collapsed="false">
      <c r="A281" s="16"/>
      <c r="B281" s="16"/>
      <c r="C281" s="16"/>
      <c r="D281" s="16"/>
      <c r="E281" s="16"/>
      <c r="F281" s="17"/>
      <c r="G281" s="17"/>
      <c r="H281" s="18" t="str">
        <f aca="false">IF(OR(F281="",G281=""),"",G281-F281)</f>
        <v/>
      </c>
      <c r="I281" s="19"/>
      <c r="J281" s="20" t="str">
        <f aca="false">IF(OR(H281="",I281=""),"",H281*I281)</f>
        <v/>
      </c>
      <c r="K281" s="21" t="str">
        <f aca="false">IF(C281="","",IFERROR(INDEX(Paramètres!$E$9:$E$11,MATCH(C281,Paramètres!$D$9:$D$11,0)),0))</f>
        <v/>
      </c>
      <c r="L281" s="20" t="str">
        <f aca="false">IF(J281="","",J281*K281)</f>
        <v/>
      </c>
      <c r="M281" s="21" t="str">
        <f aca="false">IF(B281="","",IFERROR(INDEX(Propriétaires!$E$4:$E$13,MATCH(B281,Propriétaires!$A$4:$A$13,0)),0.2))</f>
        <v/>
      </c>
      <c r="N281" s="20" t="str">
        <f aca="false">IF(J281="","",(J281-L281)*M281)</f>
        <v/>
      </c>
      <c r="O281" s="20" t="str">
        <f aca="false">IF(J281="","",J281-L281-N281)</f>
        <v/>
      </c>
      <c r="P281" s="16"/>
      <c r="Q281" s="16"/>
      <c r="R281" s="16"/>
      <c r="S281" s="16"/>
      <c r="T281" s="14" t="str">
        <f aca="false">IF(F281="","",MONTH(F281))</f>
        <v/>
      </c>
      <c r="U281" s="14" t="str">
        <f aca="false">IF(F281="","",YEAR(F281))</f>
        <v/>
      </c>
    </row>
    <row r="282" customFormat="false" ht="15" hidden="false" customHeight="false" outlineLevel="0" collapsed="false">
      <c r="A282" s="16"/>
      <c r="B282" s="16"/>
      <c r="C282" s="16"/>
      <c r="D282" s="16"/>
      <c r="E282" s="16"/>
      <c r="F282" s="17"/>
      <c r="G282" s="17"/>
      <c r="H282" s="18" t="str">
        <f aca="false">IF(OR(F282="",G282=""),"",G282-F282)</f>
        <v/>
      </c>
      <c r="I282" s="19"/>
      <c r="J282" s="20" t="str">
        <f aca="false">IF(OR(H282="",I282=""),"",H282*I282)</f>
        <v/>
      </c>
      <c r="K282" s="21" t="str">
        <f aca="false">IF(C282="","",IFERROR(INDEX(Paramètres!$E$9:$E$11,MATCH(C282,Paramètres!$D$9:$D$11,0)),0))</f>
        <v/>
      </c>
      <c r="L282" s="20" t="str">
        <f aca="false">IF(J282="","",J282*K282)</f>
        <v/>
      </c>
      <c r="M282" s="21" t="str">
        <f aca="false">IF(B282="","",IFERROR(INDEX(Propriétaires!$E$4:$E$13,MATCH(B282,Propriétaires!$A$4:$A$13,0)),0.2))</f>
        <v/>
      </c>
      <c r="N282" s="20" t="str">
        <f aca="false">IF(J282="","",(J282-L282)*M282)</f>
        <v/>
      </c>
      <c r="O282" s="20" t="str">
        <f aca="false">IF(J282="","",J282-L282-N282)</f>
        <v/>
      </c>
      <c r="P282" s="16"/>
      <c r="Q282" s="16"/>
      <c r="R282" s="16"/>
      <c r="S282" s="16"/>
      <c r="T282" s="14" t="str">
        <f aca="false">IF(F282="","",MONTH(F282))</f>
        <v/>
      </c>
      <c r="U282" s="14" t="str">
        <f aca="false">IF(F282="","",YEAR(F282))</f>
        <v/>
      </c>
    </row>
    <row r="283" customFormat="false" ht="15" hidden="false" customHeight="false" outlineLevel="0" collapsed="false">
      <c r="A283" s="16"/>
      <c r="B283" s="16"/>
      <c r="C283" s="16"/>
      <c r="D283" s="16"/>
      <c r="E283" s="16"/>
      <c r="F283" s="17"/>
      <c r="G283" s="17"/>
      <c r="H283" s="18" t="str">
        <f aca="false">IF(OR(F283="",G283=""),"",G283-F283)</f>
        <v/>
      </c>
      <c r="I283" s="19"/>
      <c r="J283" s="20" t="str">
        <f aca="false">IF(OR(H283="",I283=""),"",H283*I283)</f>
        <v/>
      </c>
      <c r="K283" s="21" t="str">
        <f aca="false">IF(C283="","",IFERROR(INDEX(Paramètres!$E$9:$E$11,MATCH(C283,Paramètres!$D$9:$D$11,0)),0))</f>
        <v/>
      </c>
      <c r="L283" s="20" t="str">
        <f aca="false">IF(J283="","",J283*K283)</f>
        <v/>
      </c>
      <c r="M283" s="21" t="str">
        <f aca="false">IF(B283="","",IFERROR(INDEX(Propriétaires!$E$4:$E$13,MATCH(B283,Propriétaires!$A$4:$A$13,0)),0.2))</f>
        <v/>
      </c>
      <c r="N283" s="20" t="str">
        <f aca="false">IF(J283="","",(J283-L283)*M283)</f>
        <v/>
      </c>
      <c r="O283" s="20" t="str">
        <f aca="false">IF(J283="","",J283-L283-N283)</f>
        <v/>
      </c>
      <c r="P283" s="16"/>
      <c r="Q283" s="16"/>
      <c r="R283" s="16"/>
      <c r="S283" s="16"/>
      <c r="T283" s="14" t="str">
        <f aca="false">IF(F283="","",MONTH(F283))</f>
        <v/>
      </c>
      <c r="U283" s="14" t="str">
        <f aca="false">IF(F283="","",YEAR(F283))</f>
        <v/>
      </c>
    </row>
    <row r="284" customFormat="false" ht="15" hidden="false" customHeight="false" outlineLevel="0" collapsed="false">
      <c r="A284" s="16"/>
      <c r="B284" s="16"/>
      <c r="C284" s="16"/>
      <c r="D284" s="16"/>
      <c r="E284" s="16"/>
      <c r="F284" s="17"/>
      <c r="G284" s="17"/>
      <c r="H284" s="18" t="str">
        <f aca="false">IF(OR(F284="",G284=""),"",G284-F284)</f>
        <v/>
      </c>
      <c r="I284" s="19"/>
      <c r="J284" s="20" t="str">
        <f aca="false">IF(OR(H284="",I284=""),"",H284*I284)</f>
        <v/>
      </c>
      <c r="K284" s="21" t="str">
        <f aca="false">IF(C284="","",IFERROR(INDEX(Paramètres!$E$9:$E$11,MATCH(C284,Paramètres!$D$9:$D$11,0)),0))</f>
        <v/>
      </c>
      <c r="L284" s="20" t="str">
        <f aca="false">IF(J284="","",J284*K284)</f>
        <v/>
      </c>
      <c r="M284" s="21" t="str">
        <f aca="false">IF(B284="","",IFERROR(INDEX(Propriétaires!$E$4:$E$13,MATCH(B284,Propriétaires!$A$4:$A$13,0)),0.2))</f>
        <v/>
      </c>
      <c r="N284" s="20" t="str">
        <f aca="false">IF(J284="","",(J284-L284)*M284)</f>
        <v/>
      </c>
      <c r="O284" s="20" t="str">
        <f aca="false">IF(J284="","",J284-L284-N284)</f>
        <v/>
      </c>
      <c r="P284" s="16"/>
      <c r="Q284" s="16"/>
      <c r="R284" s="16"/>
      <c r="S284" s="16"/>
      <c r="T284" s="14" t="str">
        <f aca="false">IF(F284="","",MONTH(F284))</f>
        <v/>
      </c>
      <c r="U284" s="14" t="str">
        <f aca="false">IF(F284="","",YEAR(F284))</f>
        <v/>
      </c>
    </row>
    <row r="285" customFormat="false" ht="15" hidden="false" customHeight="false" outlineLevel="0" collapsed="false">
      <c r="A285" s="16"/>
      <c r="B285" s="16"/>
      <c r="C285" s="16"/>
      <c r="D285" s="16"/>
      <c r="E285" s="16"/>
      <c r="F285" s="17"/>
      <c r="G285" s="17"/>
      <c r="H285" s="18" t="str">
        <f aca="false">IF(OR(F285="",G285=""),"",G285-F285)</f>
        <v/>
      </c>
      <c r="I285" s="19"/>
      <c r="J285" s="20" t="str">
        <f aca="false">IF(OR(H285="",I285=""),"",H285*I285)</f>
        <v/>
      </c>
      <c r="K285" s="21" t="str">
        <f aca="false">IF(C285="","",IFERROR(INDEX(Paramètres!$E$9:$E$11,MATCH(C285,Paramètres!$D$9:$D$11,0)),0))</f>
        <v/>
      </c>
      <c r="L285" s="20" t="str">
        <f aca="false">IF(J285="","",J285*K285)</f>
        <v/>
      </c>
      <c r="M285" s="21" t="str">
        <f aca="false">IF(B285="","",IFERROR(INDEX(Propriétaires!$E$4:$E$13,MATCH(B285,Propriétaires!$A$4:$A$13,0)),0.2))</f>
        <v/>
      </c>
      <c r="N285" s="20" t="str">
        <f aca="false">IF(J285="","",(J285-L285)*M285)</f>
        <v/>
      </c>
      <c r="O285" s="20" t="str">
        <f aca="false">IF(J285="","",J285-L285-N285)</f>
        <v/>
      </c>
      <c r="P285" s="16"/>
      <c r="Q285" s="16"/>
      <c r="R285" s="16"/>
      <c r="S285" s="16"/>
      <c r="T285" s="14" t="str">
        <f aca="false">IF(F285="","",MONTH(F285))</f>
        <v/>
      </c>
      <c r="U285" s="14" t="str">
        <f aca="false">IF(F285="","",YEAR(F285))</f>
        <v/>
      </c>
    </row>
    <row r="286" customFormat="false" ht="15" hidden="false" customHeight="false" outlineLevel="0" collapsed="false">
      <c r="A286" s="16"/>
      <c r="B286" s="16"/>
      <c r="C286" s="16"/>
      <c r="D286" s="16"/>
      <c r="E286" s="16"/>
      <c r="F286" s="17"/>
      <c r="G286" s="17"/>
      <c r="H286" s="18" t="str">
        <f aca="false">IF(OR(F286="",G286=""),"",G286-F286)</f>
        <v/>
      </c>
      <c r="I286" s="19"/>
      <c r="J286" s="20" t="str">
        <f aca="false">IF(OR(H286="",I286=""),"",H286*I286)</f>
        <v/>
      </c>
      <c r="K286" s="21" t="str">
        <f aca="false">IF(C286="","",IFERROR(INDEX(Paramètres!$E$9:$E$11,MATCH(C286,Paramètres!$D$9:$D$11,0)),0))</f>
        <v/>
      </c>
      <c r="L286" s="20" t="str">
        <f aca="false">IF(J286="","",J286*K286)</f>
        <v/>
      </c>
      <c r="M286" s="21" t="str">
        <f aca="false">IF(B286="","",IFERROR(INDEX(Propriétaires!$E$4:$E$13,MATCH(B286,Propriétaires!$A$4:$A$13,0)),0.2))</f>
        <v/>
      </c>
      <c r="N286" s="20" t="str">
        <f aca="false">IF(J286="","",(J286-L286)*M286)</f>
        <v/>
      </c>
      <c r="O286" s="20" t="str">
        <f aca="false">IF(J286="","",J286-L286-N286)</f>
        <v/>
      </c>
      <c r="P286" s="16"/>
      <c r="Q286" s="16"/>
      <c r="R286" s="16"/>
      <c r="S286" s="16"/>
      <c r="T286" s="14" t="str">
        <f aca="false">IF(F286="","",MONTH(F286))</f>
        <v/>
      </c>
      <c r="U286" s="14" t="str">
        <f aca="false">IF(F286="","",YEAR(F286))</f>
        <v/>
      </c>
    </row>
    <row r="287" customFormat="false" ht="15" hidden="false" customHeight="false" outlineLevel="0" collapsed="false">
      <c r="A287" s="16"/>
      <c r="B287" s="16"/>
      <c r="C287" s="16"/>
      <c r="D287" s="16"/>
      <c r="E287" s="16"/>
      <c r="F287" s="17"/>
      <c r="G287" s="17"/>
      <c r="H287" s="18" t="str">
        <f aca="false">IF(OR(F287="",G287=""),"",G287-F287)</f>
        <v/>
      </c>
      <c r="I287" s="19"/>
      <c r="J287" s="20" t="str">
        <f aca="false">IF(OR(H287="",I287=""),"",H287*I287)</f>
        <v/>
      </c>
      <c r="K287" s="21" t="str">
        <f aca="false">IF(C287="","",IFERROR(INDEX(Paramètres!$E$9:$E$11,MATCH(C287,Paramètres!$D$9:$D$11,0)),0))</f>
        <v/>
      </c>
      <c r="L287" s="20" t="str">
        <f aca="false">IF(J287="","",J287*K287)</f>
        <v/>
      </c>
      <c r="M287" s="21" t="str">
        <f aca="false">IF(B287="","",IFERROR(INDEX(Propriétaires!$E$4:$E$13,MATCH(B287,Propriétaires!$A$4:$A$13,0)),0.2))</f>
        <v/>
      </c>
      <c r="N287" s="20" t="str">
        <f aca="false">IF(J287="","",(J287-L287)*M287)</f>
        <v/>
      </c>
      <c r="O287" s="20" t="str">
        <f aca="false">IF(J287="","",J287-L287-N287)</f>
        <v/>
      </c>
      <c r="P287" s="16"/>
      <c r="Q287" s="16"/>
      <c r="R287" s="16"/>
      <c r="S287" s="16"/>
      <c r="T287" s="14" t="str">
        <f aca="false">IF(F287="","",MONTH(F287))</f>
        <v/>
      </c>
      <c r="U287" s="14" t="str">
        <f aca="false">IF(F287="","",YEAR(F287))</f>
        <v/>
      </c>
    </row>
    <row r="288" customFormat="false" ht="15" hidden="false" customHeight="false" outlineLevel="0" collapsed="false">
      <c r="A288" s="16"/>
      <c r="B288" s="16"/>
      <c r="C288" s="16"/>
      <c r="D288" s="16"/>
      <c r="E288" s="16"/>
      <c r="F288" s="17"/>
      <c r="G288" s="17"/>
      <c r="H288" s="18" t="str">
        <f aca="false">IF(OR(F288="",G288=""),"",G288-F288)</f>
        <v/>
      </c>
      <c r="I288" s="19"/>
      <c r="J288" s="20" t="str">
        <f aca="false">IF(OR(H288="",I288=""),"",H288*I288)</f>
        <v/>
      </c>
      <c r="K288" s="21" t="str">
        <f aca="false">IF(C288="","",IFERROR(INDEX(Paramètres!$E$9:$E$11,MATCH(C288,Paramètres!$D$9:$D$11,0)),0))</f>
        <v/>
      </c>
      <c r="L288" s="20" t="str">
        <f aca="false">IF(J288="","",J288*K288)</f>
        <v/>
      </c>
      <c r="M288" s="21" t="str">
        <f aca="false">IF(B288="","",IFERROR(INDEX(Propriétaires!$E$4:$E$13,MATCH(B288,Propriétaires!$A$4:$A$13,0)),0.2))</f>
        <v/>
      </c>
      <c r="N288" s="20" t="str">
        <f aca="false">IF(J288="","",(J288-L288)*M288)</f>
        <v/>
      </c>
      <c r="O288" s="20" t="str">
        <f aca="false">IF(J288="","",J288-L288-N288)</f>
        <v/>
      </c>
      <c r="P288" s="16"/>
      <c r="Q288" s="16"/>
      <c r="R288" s="16"/>
      <c r="S288" s="16"/>
      <c r="T288" s="14" t="str">
        <f aca="false">IF(F288="","",MONTH(F288))</f>
        <v/>
      </c>
      <c r="U288" s="14" t="str">
        <f aca="false">IF(F288="","",YEAR(F288))</f>
        <v/>
      </c>
    </row>
    <row r="289" customFormat="false" ht="15" hidden="false" customHeight="false" outlineLevel="0" collapsed="false">
      <c r="A289" s="16"/>
      <c r="B289" s="16"/>
      <c r="C289" s="16"/>
      <c r="D289" s="16"/>
      <c r="E289" s="16"/>
      <c r="F289" s="17"/>
      <c r="G289" s="17"/>
      <c r="H289" s="18" t="str">
        <f aca="false">IF(OR(F289="",G289=""),"",G289-F289)</f>
        <v/>
      </c>
      <c r="I289" s="19"/>
      <c r="J289" s="20" t="str">
        <f aca="false">IF(OR(H289="",I289=""),"",H289*I289)</f>
        <v/>
      </c>
      <c r="K289" s="21" t="str">
        <f aca="false">IF(C289="","",IFERROR(INDEX(Paramètres!$E$9:$E$11,MATCH(C289,Paramètres!$D$9:$D$11,0)),0))</f>
        <v/>
      </c>
      <c r="L289" s="20" t="str">
        <f aca="false">IF(J289="","",J289*K289)</f>
        <v/>
      </c>
      <c r="M289" s="21" t="str">
        <f aca="false">IF(B289="","",IFERROR(INDEX(Propriétaires!$E$4:$E$13,MATCH(B289,Propriétaires!$A$4:$A$13,0)),0.2))</f>
        <v/>
      </c>
      <c r="N289" s="20" t="str">
        <f aca="false">IF(J289="","",(J289-L289)*M289)</f>
        <v/>
      </c>
      <c r="O289" s="20" t="str">
        <f aca="false">IF(J289="","",J289-L289-N289)</f>
        <v/>
      </c>
      <c r="P289" s="16"/>
      <c r="Q289" s="16"/>
      <c r="R289" s="16"/>
      <c r="S289" s="16"/>
      <c r="T289" s="14" t="str">
        <f aca="false">IF(F289="","",MONTH(F289))</f>
        <v/>
      </c>
      <c r="U289" s="14" t="str">
        <f aca="false">IF(F289="","",YEAR(F289))</f>
        <v/>
      </c>
    </row>
    <row r="290" customFormat="false" ht="15" hidden="false" customHeight="false" outlineLevel="0" collapsed="false">
      <c r="A290" s="16"/>
      <c r="B290" s="16"/>
      <c r="C290" s="16"/>
      <c r="D290" s="16"/>
      <c r="E290" s="16"/>
      <c r="F290" s="17"/>
      <c r="G290" s="17"/>
      <c r="H290" s="18" t="str">
        <f aca="false">IF(OR(F290="",G290=""),"",G290-F290)</f>
        <v/>
      </c>
      <c r="I290" s="19"/>
      <c r="J290" s="20" t="str">
        <f aca="false">IF(OR(H290="",I290=""),"",H290*I290)</f>
        <v/>
      </c>
      <c r="K290" s="21" t="str">
        <f aca="false">IF(C290="","",IFERROR(INDEX(Paramètres!$E$9:$E$11,MATCH(C290,Paramètres!$D$9:$D$11,0)),0))</f>
        <v/>
      </c>
      <c r="L290" s="20" t="str">
        <f aca="false">IF(J290="","",J290*K290)</f>
        <v/>
      </c>
      <c r="M290" s="21" t="str">
        <f aca="false">IF(B290="","",IFERROR(INDEX(Propriétaires!$E$4:$E$13,MATCH(B290,Propriétaires!$A$4:$A$13,0)),0.2))</f>
        <v/>
      </c>
      <c r="N290" s="20" t="str">
        <f aca="false">IF(J290="","",(J290-L290)*M290)</f>
        <v/>
      </c>
      <c r="O290" s="20" t="str">
        <f aca="false">IF(J290="","",J290-L290-N290)</f>
        <v/>
      </c>
      <c r="P290" s="16"/>
      <c r="Q290" s="16"/>
      <c r="R290" s="16"/>
      <c r="S290" s="16"/>
      <c r="T290" s="14" t="str">
        <f aca="false">IF(F290="","",MONTH(F290))</f>
        <v/>
      </c>
      <c r="U290" s="14" t="str">
        <f aca="false">IF(F290="","",YEAR(F290))</f>
        <v/>
      </c>
    </row>
    <row r="291" customFormat="false" ht="15" hidden="false" customHeight="false" outlineLevel="0" collapsed="false">
      <c r="A291" s="16"/>
      <c r="B291" s="16"/>
      <c r="C291" s="16"/>
      <c r="D291" s="16"/>
      <c r="E291" s="16"/>
      <c r="F291" s="17"/>
      <c r="G291" s="17"/>
      <c r="H291" s="18" t="str">
        <f aca="false">IF(OR(F291="",G291=""),"",G291-F291)</f>
        <v/>
      </c>
      <c r="I291" s="19"/>
      <c r="J291" s="20" t="str">
        <f aca="false">IF(OR(H291="",I291=""),"",H291*I291)</f>
        <v/>
      </c>
      <c r="K291" s="21" t="str">
        <f aca="false">IF(C291="","",IFERROR(INDEX(Paramètres!$E$9:$E$11,MATCH(C291,Paramètres!$D$9:$D$11,0)),0))</f>
        <v/>
      </c>
      <c r="L291" s="20" t="str">
        <f aca="false">IF(J291="","",J291*K291)</f>
        <v/>
      </c>
      <c r="M291" s="21" t="str">
        <f aca="false">IF(B291="","",IFERROR(INDEX(Propriétaires!$E$4:$E$13,MATCH(B291,Propriétaires!$A$4:$A$13,0)),0.2))</f>
        <v/>
      </c>
      <c r="N291" s="20" t="str">
        <f aca="false">IF(J291="","",(J291-L291)*M291)</f>
        <v/>
      </c>
      <c r="O291" s="20" t="str">
        <f aca="false">IF(J291="","",J291-L291-N291)</f>
        <v/>
      </c>
      <c r="P291" s="16"/>
      <c r="Q291" s="16"/>
      <c r="R291" s="16"/>
      <c r="S291" s="16"/>
      <c r="T291" s="14" t="str">
        <f aca="false">IF(F291="","",MONTH(F291))</f>
        <v/>
      </c>
      <c r="U291" s="14" t="str">
        <f aca="false">IF(F291="","",YEAR(F291))</f>
        <v/>
      </c>
    </row>
    <row r="292" customFormat="false" ht="15" hidden="false" customHeight="false" outlineLevel="0" collapsed="false">
      <c r="A292" s="16"/>
      <c r="B292" s="16"/>
      <c r="C292" s="16"/>
      <c r="D292" s="16"/>
      <c r="E292" s="16"/>
      <c r="F292" s="17"/>
      <c r="G292" s="17"/>
      <c r="H292" s="18" t="str">
        <f aca="false">IF(OR(F292="",G292=""),"",G292-F292)</f>
        <v/>
      </c>
      <c r="I292" s="19"/>
      <c r="J292" s="20" t="str">
        <f aca="false">IF(OR(H292="",I292=""),"",H292*I292)</f>
        <v/>
      </c>
      <c r="K292" s="21" t="str">
        <f aca="false">IF(C292="","",IFERROR(INDEX(Paramètres!$E$9:$E$11,MATCH(C292,Paramètres!$D$9:$D$11,0)),0))</f>
        <v/>
      </c>
      <c r="L292" s="20" t="str">
        <f aca="false">IF(J292="","",J292*K292)</f>
        <v/>
      </c>
      <c r="M292" s="21" t="str">
        <f aca="false">IF(B292="","",IFERROR(INDEX(Propriétaires!$E$4:$E$13,MATCH(B292,Propriétaires!$A$4:$A$13,0)),0.2))</f>
        <v/>
      </c>
      <c r="N292" s="20" t="str">
        <f aca="false">IF(J292="","",(J292-L292)*M292)</f>
        <v/>
      </c>
      <c r="O292" s="20" t="str">
        <f aca="false">IF(J292="","",J292-L292-N292)</f>
        <v/>
      </c>
      <c r="P292" s="16"/>
      <c r="Q292" s="16"/>
      <c r="R292" s="16"/>
      <c r="S292" s="16"/>
      <c r="T292" s="14" t="str">
        <f aca="false">IF(F292="","",MONTH(F292))</f>
        <v/>
      </c>
      <c r="U292" s="14" t="str">
        <f aca="false">IF(F292="","",YEAR(F292))</f>
        <v/>
      </c>
    </row>
    <row r="293" customFormat="false" ht="15" hidden="false" customHeight="false" outlineLevel="0" collapsed="false">
      <c r="A293" s="16"/>
      <c r="B293" s="16"/>
      <c r="C293" s="16"/>
      <c r="D293" s="16"/>
      <c r="E293" s="16"/>
      <c r="F293" s="17"/>
      <c r="G293" s="17"/>
      <c r="H293" s="18" t="str">
        <f aca="false">IF(OR(F293="",G293=""),"",G293-F293)</f>
        <v/>
      </c>
      <c r="I293" s="19"/>
      <c r="J293" s="20" t="str">
        <f aca="false">IF(OR(H293="",I293=""),"",H293*I293)</f>
        <v/>
      </c>
      <c r="K293" s="21" t="str">
        <f aca="false">IF(C293="","",IFERROR(INDEX(Paramètres!$E$9:$E$11,MATCH(C293,Paramètres!$D$9:$D$11,0)),0))</f>
        <v/>
      </c>
      <c r="L293" s="20" t="str">
        <f aca="false">IF(J293="","",J293*K293)</f>
        <v/>
      </c>
      <c r="M293" s="21" t="str">
        <f aca="false">IF(B293="","",IFERROR(INDEX(Propriétaires!$E$4:$E$13,MATCH(B293,Propriétaires!$A$4:$A$13,0)),0.2))</f>
        <v/>
      </c>
      <c r="N293" s="20" t="str">
        <f aca="false">IF(J293="","",(J293-L293)*M293)</f>
        <v/>
      </c>
      <c r="O293" s="20" t="str">
        <f aca="false">IF(J293="","",J293-L293-N293)</f>
        <v/>
      </c>
      <c r="P293" s="16"/>
      <c r="Q293" s="16"/>
      <c r="R293" s="16"/>
      <c r="S293" s="16"/>
      <c r="T293" s="14" t="str">
        <f aca="false">IF(F293="","",MONTH(F293))</f>
        <v/>
      </c>
      <c r="U293" s="14" t="str">
        <f aca="false">IF(F293="","",YEAR(F293))</f>
        <v/>
      </c>
    </row>
    <row r="294" customFormat="false" ht="15" hidden="false" customHeight="false" outlineLevel="0" collapsed="false">
      <c r="A294" s="16"/>
      <c r="B294" s="16"/>
      <c r="C294" s="16"/>
      <c r="D294" s="16"/>
      <c r="E294" s="16"/>
      <c r="F294" s="17"/>
      <c r="G294" s="17"/>
      <c r="H294" s="18" t="str">
        <f aca="false">IF(OR(F294="",G294=""),"",G294-F294)</f>
        <v/>
      </c>
      <c r="I294" s="19"/>
      <c r="J294" s="20" t="str">
        <f aca="false">IF(OR(H294="",I294=""),"",H294*I294)</f>
        <v/>
      </c>
      <c r="K294" s="21" t="str">
        <f aca="false">IF(C294="","",IFERROR(INDEX(Paramètres!$E$9:$E$11,MATCH(C294,Paramètres!$D$9:$D$11,0)),0))</f>
        <v/>
      </c>
      <c r="L294" s="20" t="str">
        <f aca="false">IF(J294="","",J294*K294)</f>
        <v/>
      </c>
      <c r="M294" s="21" t="str">
        <f aca="false">IF(B294="","",IFERROR(INDEX(Propriétaires!$E$4:$E$13,MATCH(B294,Propriétaires!$A$4:$A$13,0)),0.2))</f>
        <v/>
      </c>
      <c r="N294" s="20" t="str">
        <f aca="false">IF(J294="","",(J294-L294)*M294)</f>
        <v/>
      </c>
      <c r="O294" s="20" t="str">
        <f aca="false">IF(J294="","",J294-L294-N294)</f>
        <v/>
      </c>
      <c r="P294" s="16"/>
      <c r="Q294" s="16"/>
      <c r="R294" s="16"/>
      <c r="S294" s="16"/>
      <c r="T294" s="14" t="str">
        <f aca="false">IF(F294="","",MONTH(F294))</f>
        <v/>
      </c>
      <c r="U294" s="14" t="str">
        <f aca="false">IF(F294="","",YEAR(F294))</f>
        <v/>
      </c>
    </row>
    <row r="295" customFormat="false" ht="15" hidden="false" customHeight="false" outlineLevel="0" collapsed="false">
      <c r="A295" s="16"/>
      <c r="B295" s="16"/>
      <c r="C295" s="16"/>
      <c r="D295" s="16"/>
      <c r="E295" s="16"/>
      <c r="F295" s="17"/>
      <c r="G295" s="17"/>
      <c r="H295" s="18" t="str">
        <f aca="false">IF(OR(F295="",G295=""),"",G295-F295)</f>
        <v/>
      </c>
      <c r="I295" s="19"/>
      <c r="J295" s="20" t="str">
        <f aca="false">IF(OR(H295="",I295=""),"",H295*I295)</f>
        <v/>
      </c>
      <c r="K295" s="21" t="str">
        <f aca="false">IF(C295="","",IFERROR(INDEX(Paramètres!$E$9:$E$11,MATCH(C295,Paramètres!$D$9:$D$11,0)),0))</f>
        <v/>
      </c>
      <c r="L295" s="20" t="str">
        <f aca="false">IF(J295="","",J295*K295)</f>
        <v/>
      </c>
      <c r="M295" s="21" t="str">
        <f aca="false">IF(B295="","",IFERROR(INDEX(Propriétaires!$E$4:$E$13,MATCH(B295,Propriétaires!$A$4:$A$13,0)),0.2))</f>
        <v/>
      </c>
      <c r="N295" s="20" t="str">
        <f aca="false">IF(J295="","",(J295-L295)*M295)</f>
        <v/>
      </c>
      <c r="O295" s="20" t="str">
        <f aca="false">IF(J295="","",J295-L295-N295)</f>
        <v/>
      </c>
      <c r="P295" s="16"/>
      <c r="Q295" s="16"/>
      <c r="R295" s="16"/>
      <c r="S295" s="16"/>
      <c r="T295" s="14" t="str">
        <f aca="false">IF(F295="","",MONTH(F295))</f>
        <v/>
      </c>
      <c r="U295" s="14" t="str">
        <f aca="false">IF(F295="","",YEAR(F295))</f>
        <v/>
      </c>
    </row>
    <row r="296" customFormat="false" ht="15" hidden="false" customHeight="false" outlineLevel="0" collapsed="false">
      <c r="A296" s="16"/>
      <c r="B296" s="16"/>
      <c r="C296" s="16"/>
      <c r="D296" s="16"/>
      <c r="E296" s="16"/>
      <c r="F296" s="17"/>
      <c r="G296" s="17"/>
      <c r="H296" s="18" t="str">
        <f aca="false">IF(OR(F296="",G296=""),"",G296-F296)</f>
        <v/>
      </c>
      <c r="I296" s="19"/>
      <c r="J296" s="20" t="str">
        <f aca="false">IF(OR(H296="",I296=""),"",H296*I296)</f>
        <v/>
      </c>
      <c r="K296" s="21" t="str">
        <f aca="false">IF(C296="","",IFERROR(INDEX(Paramètres!$E$9:$E$11,MATCH(C296,Paramètres!$D$9:$D$11,0)),0))</f>
        <v/>
      </c>
      <c r="L296" s="20" t="str">
        <f aca="false">IF(J296="","",J296*K296)</f>
        <v/>
      </c>
      <c r="M296" s="21" t="str">
        <f aca="false">IF(B296="","",IFERROR(INDEX(Propriétaires!$E$4:$E$13,MATCH(B296,Propriétaires!$A$4:$A$13,0)),0.2))</f>
        <v/>
      </c>
      <c r="N296" s="20" t="str">
        <f aca="false">IF(J296="","",(J296-L296)*M296)</f>
        <v/>
      </c>
      <c r="O296" s="20" t="str">
        <f aca="false">IF(J296="","",J296-L296-N296)</f>
        <v/>
      </c>
      <c r="P296" s="16"/>
      <c r="Q296" s="16"/>
      <c r="R296" s="16"/>
      <c r="S296" s="16"/>
      <c r="T296" s="14" t="str">
        <f aca="false">IF(F296="","",MONTH(F296))</f>
        <v/>
      </c>
      <c r="U296" s="14" t="str">
        <f aca="false">IF(F296="","",YEAR(F296))</f>
        <v/>
      </c>
    </row>
    <row r="297" customFormat="false" ht="15" hidden="false" customHeight="false" outlineLevel="0" collapsed="false">
      <c r="A297" s="16"/>
      <c r="B297" s="16"/>
      <c r="C297" s="16"/>
      <c r="D297" s="16"/>
      <c r="E297" s="16"/>
      <c r="F297" s="17"/>
      <c r="G297" s="17"/>
      <c r="H297" s="18" t="str">
        <f aca="false">IF(OR(F297="",G297=""),"",G297-F297)</f>
        <v/>
      </c>
      <c r="I297" s="19"/>
      <c r="J297" s="20" t="str">
        <f aca="false">IF(OR(H297="",I297=""),"",H297*I297)</f>
        <v/>
      </c>
      <c r="K297" s="21" t="str">
        <f aca="false">IF(C297="","",IFERROR(INDEX(Paramètres!$E$9:$E$11,MATCH(C297,Paramètres!$D$9:$D$11,0)),0))</f>
        <v/>
      </c>
      <c r="L297" s="20" t="str">
        <f aca="false">IF(J297="","",J297*K297)</f>
        <v/>
      </c>
      <c r="M297" s="21" t="str">
        <f aca="false">IF(B297="","",IFERROR(INDEX(Propriétaires!$E$4:$E$13,MATCH(B297,Propriétaires!$A$4:$A$13,0)),0.2))</f>
        <v/>
      </c>
      <c r="N297" s="20" t="str">
        <f aca="false">IF(J297="","",(J297-L297)*M297)</f>
        <v/>
      </c>
      <c r="O297" s="20" t="str">
        <f aca="false">IF(J297="","",J297-L297-N297)</f>
        <v/>
      </c>
      <c r="P297" s="16"/>
      <c r="Q297" s="16"/>
      <c r="R297" s="16"/>
      <c r="S297" s="16"/>
      <c r="T297" s="14" t="str">
        <f aca="false">IF(F297="","",MONTH(F297))</f>
        <v/>
      </c>
      <c r="U297" s="14" t="str">
        <f aca="false">IF(F297="","",YEAR(F297))</f>
        <v/>
      </c>
    </row>
    <row r="298" customFormat="false" ht="15" hidden="false" customHeight="false" outlineLevel="0" collapsed="false">
      <c r="A298" s="16"/>
      <c r="B298" s="16"/>
      <c r="C298" s="16"/>
      <c r="D298" s="16"/>
      <c r="E298" s="16"/>
      <c r="F298" s="17"/>
      <c r="G298" s="17"/>
      <c r="H298" s="18" t="str">
        <f aca="false">IF(OR(F298="",G298=""),"",G298-F298)</f>
        <v/>
      </c>
      <c r="I298" s="19"/>
      <c r="J298" s="20" t="str">
        <f aca="false">IF(OR(H298="",I298=""),"",H298*I298)</f>
        <v/>
      </c>
      <c r="K298" s="21" t="str">
        <f aca="false">IF(C298="","",IFERROR(INDEX(Paramètres!$E$9:$E$11,MATCH(C298,Paramètres!$D$9:$D$11,0)),0))</f>
        <v/>
      </c>
      <c r="L298" s="20" t="str">
        <f aca="false">IF(J298="","",J298*K298)</f>
        <v/>
      </c>
      <c r="M298" s="21" t="str">
        <f aca="false">IF(B298="","",IFERROR(INDEX(Propriétaires!$E$4:$E$13,MATCH(B298,Propriétaires!$A$4:$A$13,0)),0.2))</f>
        <v/>
      </c>
      <c r="N298" s="20" t="str">
        <f aca="false">IF(J298="","",(J298-L298)*M298)</f>
        <v/>
      </c>
      <c r="O298" s="20" t="str">
        <f aca="false">IF(J298="","",J298-L298-N298)</f>
        <v/>
      </c>
      <c r="P298" s="16"/>
      <c r="Q298" s="16"/>
      <c r="R298" s="16"/>
      <c r="S298" s="16"/>
      <c r="T298" s="14" t="str">
        <f aca="false">IF(F298="","",MONTH(F298))</f>
        <v/>
      </c>
      <c r="U298" s="14" t="str">
        <f aca="false">IF(F298="","",YEAR(F298))</f>
        <v/>
      </c>
    </row>
    <row r="299" customFormat="false" ht="15" hidden="false" customHeight="false" outlineLevel="0" collapsed="false">
      <c r="A299" s="16"/>
      <c r="B299" s="16"/>
      <c r="C299" s="16"/>
      <c r="D299" s="16"/>
      <c r="E299" s="16"/>
      <c r="F299" s="17"/>
      <c r="G299" s="17"/>
      <c r="H299" s="18" t="str">
        <f aca="false">IF(OR(F299="",G299=""),"",G299-F299)</f>
        <v/>
      </c>
      <c r="I299" s="19"/>
      <c r="J299" s="20" t="str">
        <f aca="false">IF(OR(H299="",I299=""),"",H299*I299)</f>
        <v/>
      </c>
      <c r="K299" s="21" t="str">
        <f aca="false">IF(C299="","",IFERROR(INDEX(Paramètres!$E$9:$E$11,MATCH(C299,Paramètres!$D$9:$D$11,0)),0))</f>
        <v/>
      </c>
      <c r="L299" s="20" t="str">
        <f aca="false">IF(J299="","",J299*K299)</f>
        <v/>
      </c>
      <c r="M299" s="21" t="str">
        <f aca="false">IF(B299="","",IFERROR(INDEX(Propriétaires!$E$4:$E$13,MATCH(B299,Propriétaires!$A$4:$A$13,0)),0.2))</f>
        <v/>
      </c>
      <c r="N299" s="20" t="str">
        <f aca="false">IF(J299="","",(J299-L299)*M299)</f>
        <v/>
      </c>
      <c r="O299" s="20" t="str">
        <f aca="false">IF(J299="","",J299-L299-N299)</f>
        <v/>
      </c>
      <c r="P299" s="16"/>
      <c r="Q299" s="16"/>
      <c r="R299" s="16"/>
      <c r="S299" s="16"/>
      <c r="T299" s="14" t="str">
        <f aca="false">IF(F299="","",MONTH(F299))</f>
        <v/>
      </c>
      <c r="U299" s="14" t="str">
        <f aca="false">IF(F299="","",YEAR(F299))</f>
        <v/>
      </c>
    </row>
    <row r="300" customFormat="false" ht="15" hidden="false" customHeight="false" outlineLevel="0" collapsed="false">
      <c r="A300" s="16"/>
      <c r="B300" s="16"/>
      <c r="C300" s="16"/>
      <c r="D300" s="16"/>
      <c r="E300" s="16"/>
      <c r="F300" s="17"/>
      <c r="G300" s="17"/>
      <c r="H300" s="18" t="str">
        <f aca="false">IF(OR(F300="",G300=""),"",G300-F300)</f>
        <v/>
      </c>
      <c r="I300" s="19"/>
      <c r="J300" s="20" t="str">
        <f aca="false">IF(OR(H300="",I300=""),"",H300*I300)</f>
        <v/>
      </c>
      <c r="K300" s="21" t="str">
        <f aca="false">IF(C300="","",IFERROR(INDEX(Paramètres!$E$9:$E$11,MATCH(C300,Paramètres!$D$9:$D$11,0)),0))</f>
        <v/>
      </c>
      <c r="L300" s="20" t="str">
        <f aca="false">IF(J300="","",J300*K300)</f>
        <v/>
      </c>
      <c r="M300" s="21" t="str">
        <f aca="false">IF(B300="","",IFERROR(INDEX(Propriétaires!$E$4:$E$13,MATCH(B300,Propriétaires!$A$4:$A$13,0)),0.2))</f>
        <v/>
      </c>
      <c r="N300" s="20" t="str">
        <f aca="false">IF(J300="","",(J300-L300)*M300)</f>
        <v/>
      </c>
      <c r="O300" s="20" t="str">
        <f aca="false">IF(J300="","",J300-L300-N300)</f>
        <v/>
      </c>
      <c r="P300" s="16"/>
      <c r="Q300" s="16"/>
      <c r="R300" s="16"/>
      <c r="S300" s="16"/>
      <c r="T300" s="14" t="str">
        <f aca="false">IF(F300="","",MONTH(F300))</f>
        <v/>
      </c>
      <c r="U300" s="14" t="str">
        <f aca="false">IF(F300="","",YEAR(F300))</f>
        <v/>
      </c>
    </row>
    <row r="301" customFormat="false" ht="15" hidden="false" customHeight="false" outlineLevel="0" collapsed="false">
      <c r="A301" s="16"/>
      <c r="B301" s="16"/>
      <c r="C301" s="16"/>
      <c r="D301" s="16"/>
      <c r="E301" s="16"/>
      <c r="F301" s="17"/>
      <c r="G301" s="17"/>
      <c r="H301" s="18" t="str">
        <f aca="false">IF(OR(F301="",G301=""),"",G301-F301)</f>
        <v/>
      </c>
      <c r="I301" s="19"/>
      <c r="J301" s="20" t="str">
        <f aca="false">IF(OR(H301="",I301=""),"",H301*I301)</f>
        <v/>
      </c>
      <c r="K301" s="21" t="str">
        <f aca="false">IF(C301="","",IFERROR(INDEX(Paramètres!$E$9:$E$11,MATCH(C301,Paramètres!$D$9:$D$11,0)),0))</f>
        <v/>
      </c>
      <c r="L301" s="20" t="str">
        <f aca="false">IF(J301="","",J301*K301)</f>
        <v/>
      </c>
      <c r="M301" s="21" t="str">
        <f aca="false">IF(B301="","",IFERROR(INDEX(Propriétaires!$E$4:$E$13,MATCH(B301,Propriétaires!$A$4:$A$13,0)),0.2))</f>
        <v/>
      </c>
      <c r="N301" s="20" t="str">
        <f aca="false">IF(J301="","",(J301-L301)*M301)</f>
        <v/>
      </c>
      <c r="O301" s="20" t="str">
        <f aca="false">IF(J301="","",J301-L301-N301)</f>
        <v/>
      </c>
      <c r="P301" s="16"/>
      <c r="Q301" s="16"/>
      <c r="R301" s="16"/>
      <c r="S301" s="16"/>
      <c r="T301" s="14" t="str">
        <f aca="false">IF(F301="","",MONTH(F301))</f>
        <v/>
      </c>
      <c r="U301" s="14" t="str">
        <f aca="false">IF(F301="","",YEAR(F301))</f>
        <v/>
      </c>
    </row>
    <row r="302" customFormat="false" ht="15" hidden="false" customHeight="false" outlineLevel="0" collapsed="false">
      <c r="A302" s="16"/>
      <c r="B302" s="16"/>
      <c r="C302" s="16"/>
      <c r="D302" s="16"/>
      <c r="E302" s="16"/>
      <c r="F302" s="17"/>
      <c r="G302" s="17"/>
      <c r="H302" s="18" t="str">
        <f aca="false">IF(OR(F302="",G302=""),"",G302-F302)</f>
        <v/>
      </c>
      <c r="I302" s="19"/>
      <c r="J302" s="20" t="str">
        <f aca="false">IF(OR(H302="",I302=""),"",H302*I302)</f>
        <v/>
      </c>
      <c r="K302" s="21" t="str">
        <f aca="false">IF(C302="","",IFERROR(INDEX(Paramètres!$E$9:$E$11,MATCH(C302,Paramètres!$D$9:$D$11,0)),0))</f>
        <v/>
      </c>
      <c r="L302" s="20" t="str">
        <f aca="false">IF(J302="","",J302*K302)</f>
        <v/>
      </c>
      <c r="M302" s="21" t="str">
        <f aca="false">IF(B302="","",IFERROR(INDEX(Propriétaires!$E$4:$E$13,MATCH(B302,Propriétaires!$A$4:$A$13,0)),0.2))</f>
        <v/>
      </c>
      <c r="N302" s="20" t="str">
        <f aca="false">IF(J302="","",(J302-L302)*M302)</f>
        <v/>
      </c>
      <c r="O302" s="20" t="str">
        <f aca="false">IF(J302="","",J302-L302-N302)</f>
        <v/>
      </c>
      <c r="P302" s="16"/>
      <c r="Q302" s="16"/>
      <c r="R302" s="16"/>
      <c r="S302" s="16"/>
      <c r="T302" s="14" t="str">
        <f aca="false">IF(F302="","",MONTH(F302))</f>
        <v/>
      </c>
      <c r="U302" s="14" t="str">
        <f aca="false">IF(F302="","",YEAR(F302))</f>
        <v/>
      </c>
    </row>
    <row r="303" customFormat="false" ht="15" hidden="false" customHeight="false" outlineLevel="0" collapsed="false">
      <c r="A303" s="16"/>
      <c r="B303" s="16"/>
      <c r="C303" s="16"/>
      <c r="D303" s="16"/>
      <c r="E303" s="16"/>
      <c r="F303" s="17"/>
      <c r="G303" s="17"/>
      <c r="H303" s="18" t="str">
        <f aca="false">IF(OR(F303="",G303=""),"",G303-F303)</f>
        <v/>
      </c>
      <c r="I303" s="19"/>
      <c r="J303" s="20" t="str">
        <f aca="false">IF(OR(H303="",I303=""),"",H303*I303)</f>
        <v/>
      </c>
      <c r="K303" s="21" t="str">
        <f aca="false">IF(C303="","",IFERROR(INDEX(Paramètres!$E$9:$E$11,MATCH(C303,Paramètres!$D$9:$D$11,0)),0))</f>
        <v/>
      </c>
      <c r="L303" s="20" t="str">
        <f aca="false">IF(J303="","",J303*K303)</f>
        <v/>
      </c>
      <c r="M303" s="21" t="str">
        <f aca="false">IF(B303="","",IFERROR(INDEX(Propriétaires!$E$4:$E$13,MATCH(B303,Propriétaires!$A$4:$A$13,0)),0.2))</f>
        <v/>
      </c>
      <c r="N303" s="20" t="str">
        <f aca="false">IF(J303="","",(J303-L303)*M303)</f>
        <v/>
      </c>
      <c r="O303" s="20" t="str">
        <f aca="false">IF(J303="","",J303-L303-N303)</f>
        <v/>
      </c>
      <c r="P303" s="16"/>
      <c r="Q303" s="16"/>
      <c r="R303" s="16"/>
      <c r="S303" s="16"/>
      <c r="T303" s="14" t="str">
        <f aca="false">IF(F303="","",MONTH(F303))</f>
        <v/>
      </c>
      <c r="U303" s="14" t="str">
        <f aca="false">IF(F303="","",YEAR(F303))</f>
        <v/>
      </c>
    </row>
  </sheetData>
  <sheetProtection sheet="true" formatCells="false" formatColumns="false" formatRows="false" sort="false" autoFilter="false"/>
  <mergeCells count="2">
    <mergeCell ref="A1:U1"/>
    <mergeCell ref="A2:U2"/>
  </mergeCells>
  <conditionalFormatting sqref="A4:S303">
    <cfRule type="expression" priority="2" aboveAverage="0" equalAverage="0" bottom="0" percent="0" rank="0" text="" dxfId="2">
      <formula>$P4="Annulée"</formula>
    </cfRule>
  </conditionalFormatting>
  <conditionalFormatting sqref="Q4:Q303">
    <cfRule type="cellIs" priority="3" operator="equal" aboveAverage="0" equalAverage="0" bottom="0" percent="0" rank="0" text="" dxfId="0">
      <formula>"Non"</formula>
    </cfRule>
  </conditionalFormatting>
  <dataValidations count="5">
    <dataValidation allowBlank="true" errorStyle="stop" operator="between" showDropDown="false" showErrorMessage="false" showInputMessage="false" sqref="B4:B303" type="list">
      <formula1>Paramètres!$A$9:$A$18</formula1>
      <formula2>0</formula2>
    </dataValidation>
    <dataValidation allowBlank="true" errorStyle="stop" operator="between" showDropDown="false" showErrorMessage="false" showInputMessage="false" sqref="C4:C303" type="list">
      <formula1>Paramètres!$D$9:$D$11</formula1>
      <formula2>0</formula2>
    </dataValidation>
    <dataValidation allowBlank="true" errorStyle="stop" operator="between" showDropDown="false" showErrorMessage="false" showInputMessage="false" sqref="P4:P303" type="list">
      <formula1>Paramètres!$G$9:$G$11</formula1>
      <formula2>0</formula2>
    </dataValidation>
    <dataValidation allowBlank="true" errorStyle="stop" operator="between" showDropDown="false" showErrorMessage="false" showInputMessage="false" sqref="Q4:Q303" type="list">
      <formula1>Paramètres!$H$9:$H$10</formula1>
      <formula2>0</formula2>
    </dataValidation>
    <dataValidation allowBlank="true" errorStyle="stop" operator="between" showDropDown="false" showErrorMessage="false" showInputMessage="false" sqref="R4:R303" type="list">
      <formula1>Paramètres!$I$9:$I$10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true" outlineLevel="0" max="6" min="6" style="0" width="6"/>
    <col collapsed="false" customWidth="true" hidden="true" outlineLevel="0" max="7" min="7" style="0" width="7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6" t="s">
        <v>65</v>
      </c>
      <c r="B3" s="6" t="s">
        <v>21</v>
      </c>
      <c r="C3" s="6" t="s">
        <v>66</v>
      </c>
      <c r="D3" s="6" t="s">
        <v>67</v>
      </c>
      <c r="E3" s="6" t="s">
        <v>68</v>
      </c>
      <c r="F3" s="6" t="s">
        <v>46</v>
      </c>
      <c r="G3" s="6" t="s">
        <v>47</v>
      </c>
    </row>
    <row r="4" customFormat="false" ht="15" hidden="false" customHeight="false" outlineLevel="0" collapsed="false">
      <c r="A4" s="17" t="n">
        <v>46208</v>
      </c>
      <c r="B4" s="16" t="s">
        <v>49</v>
      </c>
      <c r="C4" s="16" t="s">
        <v>69</v>
      </c>
      <c r="D4" s="16" t="s">
        <v>70</v>
      </c>
      <c r="E4" s="19" t="n">
        <v>350</v>
      </c>
      <c r="F4" s="14" t="n">
        <f aca="false">IF(A4="","",MONTH(A4))</f>
        <v>7</v>
      </c>
      <c r="G4" s="14" t="n">
        <f aca="false">IF(A4="","",YEAR(A4))</f>
        <v>2026</v>
      </c>
    </row>
    <row r="5" customFormat="false" ht="15" hidden="false" customHeight="false" outlineLevel="0" collapsed="false">
      <c r="A5" s="17" t="n">
        <v>46215</v>
      </c>
      <c r="B5" s="16" t="s">
        <v>49</v>
      </c>
      <c r="C5" s="16" t="s">
        <v>71</v>
      </c>
      <c r="D5" s="16" t="s">
        <v>72</v>
      </c>
      <c r="E5" s="19" t="n">
        <v>180</v>
      </c>
      <c r="F5" s="14" t="n">
        <f aca="false">IF(A5="","",MONTH(A5))</f>
        <v>7</v>
      </c>
      <c r="G5" s="14" t="n">
        <f aca="false">IF(A5="","",YEAR(A5))</f>
        <v>2026</v>
      </c>
    </row>
    <row r="6" customFormat="false" ht="15" hidden="false" customHeight="false" outlineLevel="0" collapsed="false">
      <c r="A6" s="17"/>
      <c r="B6" s="16"/>
      <c r="C6" s="16"/>
      <c r="D6" s="16"/>
      <c r="E6" s="19"/>
      <c r="F6" s="14" t="str">
        <f aca="false">IF(A6="","",MONTH(A6))</f>
        <v/>
      </c>
      <c r="G6" s="14" t="str">
        <f aca="false">IF(A6="","",YEAR(A6))</f>
        <v/>
      </c>
    </row>
    <row r="7" customFormat="false" ht="15" hidden="false" customHeight="false" outlineLevel="0" collapsed="false">
      <c r="A7" s="17"/>
      <c r="B7" s="16"/>
      <c r="C7" s="16"/>
      <c r="D7" s="16"/>
      <c r="E7" s="19"/>
      <c r="F7" s="14" t="str">
        <f aca="false">IF(A7="","",MONTH(A7))</f>
        <v/>
      </c>
      <c r="G7" s="14" t="str">
        <f aca="false">IF(A7="","",YEAR(A7))</f>
        <v/>
      </c>
    </row>
    <row r="8" customFormat="false" ht="15" hidden="false" customHeight="false" outlineLevel="0" collapsed="false">
      <c r="A8" s="17"/>
      <c r="B8" s="16"/>
      <c r="C8" s="16"/>
      <c r="D8" s="16"/>
      <c r="E8" s="19"/>
      <c r="F8" s="14" t="str">
        <f aca="false">IF(A8="","",MONTH(A8))</f>
        <v/>
      </c>
      <c r="G8" s="14" t="str">
        <f aca="false">IF(A8="","",YEAR(A8))</f>
        <v/>
      </c>
    </row>
    <row r="9" customFormat="false" ht="15" hidden="false" customHeight="false" outlineLevel="0" collapsed="false">
      <c r="A9" s="17"/>
      <c r="B9" s="16"/>
      <c r="C9" s="16"/>
      <c r="D9" s="16"/>
      <c r="E9" s="19"/>
      <c r="F9" s="14" t="str">
        <f aca="false">IF(A9="","",MONTH(A9))</f>
        <v/>
      </c>
      <c r="G9" s="14" t="str">
        <f aca="false">IF(A9="","",YEAR(A9))</f>
        <v/>
      </c>
    </row>
    <row r="10" customFormat="false" ht="15" hidden="false" customHeight="false" outlineLevel="0" collapsed="false">
      <c r="A10" s="17"/>
      <c r="B10" s="16"/>
      <c r="C10" s="16"/>
      <c r="D10" s="16"/>
      <c r="E10" s="19"/>
      <c r="F10" s="14" t="str">
        <f aca="false">IF(A10="","",MONTH(A10))</f>
        <v/>
      </c>
      <c r="G10" s="14" t="str">
        <f aca="false">IF(A10="","",YEAR(A10))</f>
        <v/>
      </c>
    </row>
    <row r="11" customFormat="false" ht="15" hidden="false" customHeight="false" outlineLevel="0" collapsed="false">
      <c r="A11" s="17"/>
      <c r="B11" s="16"/>
      <c r="C11" s="16"/>
      <c r="D11" s="16"/>
      <c r="E11" s="19"/>
      <c r="F11" s="14" t="str">
        <f aca="false">IF(A11="","",MONTH(A11))</f>
        <v/>
      </c>
      <c r="G11" s="14" t="str">
        <f aca="false">IF(A11="","",YEAR(A11))</f>
        <v/>
      </c>
    </row>
    <row r="12" customFormat="false" ht="15" hidden="false" customHeight="false" outlineLevel="0" collapsed="false">
      <c r="A12" s="17"/>
      <c r="B12" s="16"/>
      <c r="C12" s="16"/>
      <c r="D12" s="16"/>
      <c r="E12" s="19"/>
      <c r="F12" s="14" t="str">
        <f aca="false">IF(A12="","",MONTH(A12))</f>
        <v/>
      </c>
      <c r="G12" s="14" t="str">
        <f aca="false">IF(A12="","",YEAR(A12))</f>
        <v/>
      </c>
    </row>
    <row r="13" customFormat="false" ht="15" hidden="false" customHeight="false" outlineLevel="0" collapsed="false">
      <c r="A13" s="17"/>
      <c r="B13" s="16"/>
      <c r="C13" s="16"/>
      <c r="D13" s="16"/>
      <c r="E13" s="19"/>
      <c r="F13" s="14" t="str">
        <f aca="false">IF(A13="","",MONTH(A13))</f>
        <v/>
      </c>
      <c r="G13" s="14" t="str">
        <f aca="false">IF(A13="","",YEAR(A13))</f>
        <v/>
      </c>
    </row>
    <row r="14" customFormat="false" ht="15" hidden="false" customHeight="false" outlineLevel="0" collapsed="false">
      <c r="A14" s="17"/>
      <c r="B14" s="16"/>
      <c r="C14" s="16"/>
      <c r="D14" s="16"/>
      <c r="E14" s="19"/>
      <c r="F14" s="14" t="str">
        <f aca="false">IF(A14="","",MONTH(A14))</f>
        <v/>
      </c>
      <c r="G14" s="14" t="str">
        <f aca="false">IF(A14="","",YEAR(A14))</f>
        <v/>
      </c>
    </row>
    <row r="15" customFormat="false" ht="15" hidden="false" customHeight="false" outlineLevel="0" collapsed="false">
      <c r="A15" s="17"/>
      <c r="B15" s="16"/>
      <c r="C15" s="16"/>
      <c r="D15" s="16"/>
      <c r="E15" s="19"/>
      <c r="F15" s="14" t="str">
        <f aca="false">IF(A15="","",MONTH(A15))</f>
        <v/>
      </c>
      <c r="G15" s="14" t="str">
        <f aca="false">IF(A15="","",YEAR(A15))</f>
        <v/>
      </c>
    </row>
    <row r="16" customFormat="false" ht="15" hidden="false" customHeight="false" outlineLevel="0" collapsed="false">
      <c r="A16" s="17"/>
      <c r="B16" s="16"/>
      <c r="C16" s="16"/>
      <c r="D16" s="16"/>
      <c r="E16" s="19"/>
      <c r="F16" s="14" t="str">
        <f aca="false">IF(A16="","",MONTH(A16))</f>
        <v/>
      </c>
      <c r="G16" s="14" t="str">
        <f aca="false">IF(A16="","",YEAR(A16))</f>
        <v/>
      </c>
    </row>
    <row r="17" customFormat="false" ht="15" hidden="false" customHeight="false" outlineLevel="0" collapsed="false">
      <c r="A17" s="17"/>
      <c r="B17" s="16"/>
      <c r="C17" s="16"/>
      <c r="D17" s="16"/>
      <c r="E17" s="19"/>
      <c r="F17" s="14" t="str">
        <f aca="false">IF(A17="","",MONTH(A17))</f>
        <v/>
      </c>
      <c r="G17" s="14" t="str">
        <f aca="false">IF(A17="","",YEAR(A17))</f>
        <v/>
      </c>
    </row>
    <row r="18" customFormat="false" ht="15" hidden="false" customHeight="false" outlineLevel="0" collapsed="false">
      <c r="A18" s="17"/>
      <c r="B18" s="16"/>
      <c r="C18" s="16"/>
      <c r="D18" s="16"/>
      <c r="E18" s="19"/>
      <c r="F18" s="14" t="str">
        <f aca="false">IF(A18="","",MONTH(A18))</f>
        <v/>
      </c>
      <c r="G18" s="14" t="str">
        <f aca="false">IF(A18="","",YEAR(A18))</f>
        <v/>
      </c>
    </row>
    <row r="19" customFormat="false" ht="15" hidden="false" customHeight="false" outlineLevel="0" collapsed="false">
      <c r="A19" s="17"/>
      <c r="B19" s="16"/>
      <c r="C19" s="16"/>
      <c r="D19" s="16"/>
      <c r="E19" s="19"/>
      <c r="F19" s="14" t="str">
        <f aca="false">IF(A19="","",MONTH(A19))</f>
        <v/>
      </c>
      <c r="G19" s="14" t="str">
        <f aca="false">IF(A19="","",YEAR(A19))</f>
        <v/>
      </c>
    </row>
    <row r="20" customFormat="false" ht="15" hidden="false" customHeight="false" outlineLevel="0" collapsed="false">
      <c r="A20" s="17"/>
      <c r="B20" s="16"/>
      <c r="C20" s="16"/>
      <c r="D20" s="16"/>
      <c r="E20" s="19"/>
      <c r="F20" s="14" t="str">
        <f aca="false">IF(A20="","",MONTH(A20))</f>
        <v/>
      </c>
      <c r="G20" s="14" t="str">
        <f aca="false">IF(A20="","",YEAR(A20))</f>
        <v/>
      </c>
    </row>
    <row r="21" customFormat="false" ht="15" hidden="false" customHeight="false" outlineLevel="0" collapsed="false">
      <c r="A21" s="17"/>
      <c r="B21" s="16"/>
      <c r="C21" s="16"/>
      <c r="D21" s="16"/>
      <c r="E21" s="19"/>
      <c r="F21" s="14" t="str">
        <f aca="false">IF(A21="","",MONTH(A21))</f>
        <v/>
      </c>
      <c r="G21" s="14" t="str">
        <f aca="false">IF(A21="","",YEAR(A21))</f>
        <v/>
      </c>
    </row>
    <row r="22" customFormat="false" ht="15" hidden="false" customHeight="false" outlineLevel="0" collapsed="false">
      <c r="A22" s="17"/>
      <c r="B22" s="16"/>
      <c r="C22" s="16"/>
      <c r="D22" s="16"/>
      <c r="E22" s="19"/>
      <c r="F22" s="14" t="str">
        <f aca="false">IF(A22="","",MONTH(A22))</f>
        <v/>
      </c>
      <c r="G22" s="14" t="str">
        <f aca="false">IF(A22="","",YEAR(A22))</f>
        <v/>
      </c>
    </row>
    <row r="23" customFormat="false" ht="15" hidden="false" customHeight="false" outlineLevel="0" collapsed="false">
      <c r="A23" s="17"/>
      <c r="B23" s="16"/>
      <c r="C23" s="16"/>
      <c r="D23" s="16"/>
      <c r="E23" s="19"/>
      <c r="F23" s="14" t="str">
        <f aca="false">IF(A23="","",MONTH(A23))</f>
        <v/>
      </c>
      <c r="G23" s="14" t="str">
        <f aca="false">IF(A23="","",YEAR(A23))</f>
        <v/>
      </c>
    </row>
    <row r="24" customFormat="false" ht="15" hidden="false" customHeight="false" outlineLevel="0" collapsed="false">
      <c r="A24" s="17"/>
      <c r="B24" s="16"/>
      <c r="C24" s="16"/>
      <c r="D24" s="16"/>
      <c r="E24" s="19"/>
      <c r="F24" s="14" t="str">
        <f aca="false">IF(A24="","",MONTH(A24))</f>
        <v/>
      </c>
      <c r="G24" s="14" t="str">
        <f aca="false">IF(A24="","",YEAR(A24))</f>
        <v/>
      </c>
    </row>
    <row r="25" customFormat="false" ht="15" hidden="false" customHeight="false" outlineLevel="0" collapsed="false">
      <c r="A25" s="17"/>
      <c r="B25" s="16"/>
      <c r="C25" s="16"/>
      <c r="D25" s="16"/>
      <c r="E25" s="19"/>
      <c r="F25" s="14" t="str">
        <f aca="false">IF(A25="","",MONTH(A25))</f>
        <v/>
      </c>
      <c r="G25" s="14" t="str">
        <f aca="false">IF(A25="","",YEAR(A25))</f>
        <v/>
      </c>
    </row>
    <row r="26" customFormat="false" ht="15" hidden="false" customHeight="false" outlineLevel="0" collapsed="false">
      <c r="A26" s="17"/>
      <c r="B26" s="16"/>
      <c r="C26" s="16"/>
      <c r="D26" s="16"/>
      <c r="E26" s="19"/>
      <c r="F26" s="14" t="str">
        <f aca="false">IF(A26="","",MONTH(A26))</f>
        <v/>
      </c>
      <c r="G26" s="14" t="str">
        <f aca="false">IF(A26="","",YEAR(A26))</f>
        <v/>
      </c>
    </row>
    <row r="27" customFormat="false" ht="15" hidden="false" customHeight="false" outlineLevel="0" collapsed="false">
      <c r="A27" s="17"/>
      <c r="B27" s="16"/>
      <c r="C27" s="16"/>
      <c r="D27" s="16"/>
      <c r="E27" s="19"/>
      <c r="F27" s="14" t="str">
        <f aca="false">IF(A27="","",MONTH(A27))</f>
        <v/>
      </c>
      <c r="G27" s="14" t="str">
        <f aca="false">IF(A27="","",YEAR(A27))</f>
        <v/>
      </c>
    </row>
    <row r="28" customFormat="false" ht="15" hidden="false" customHeight="false" outlineLevel="0" collapsed="false">
      <c r="A28" s="17"/>
      <c r="B28" s="16"/>
      <c r="C28" s="16"/>
      <c r="D28" s="16"/>
      <c r="E28" s="19"/>
      <c r="F28" s="14" t="str">
        <f aca="false">IF(A28="","",MONTH(A28))</f>
        <v/>
      </c>
      <c r="G28" s="14" t="str">
        <f aca="false">IF(A28="","",YEAR(A28))</f>
        <v/>
      </c>
    </row>
    <row r="29" customFormat="false" ht="15" hidden="false" customHeight="false" outlineLevel="0" collapsed="false">
      <c r="A29" s="17"/>
      <c r="B29" s="16"/>
      <c r="C29" s="16"/>
      <c r="D29" s="16"/>
      <c r="E29" s="19"/>
      <c r="F29" s="14" t="str">
        <f aca="false">IF(A29="","",MONTH(A29))</f>
        <v/>
      </c>
      <c r="G29" s="14" t="str">
        <f aca="false">IF(A29="","",YEAR(A29))</f>
        <v/>
      </c>
    </row>
    <row r="30" customFormat="false" ht="15" hidden="false" customHeight="false" outlineLevel="0" collapsed="false">
      <c r="A30" s="17"/>
      <c r="B30" s="16"/>
      <c r="C30" s="16"/>
      <c r="D30" s="16"/>
      <c r="E30" s="19"/>
      <c r="F30" s="14" t="str">
        <f aca="false">IF(A30="","",MONTH(A30))</f>
        <v/>
      </c>
      <c r="G30" s="14" t="str">
        <f aca="false">IF(A30="","",YEAR(A30))</f>
        <v/>
      </c>
    </row>
    <row r="31" customFormat="false" ht="15" hidden="false" customHeight="false" outlineLevel="0" collapsed="false">
      <c r="A31" s="17"/>
      <c r="B31" s="16"/>
      <c r="C31" s="16"/>
      <c r="D31" s="16"/>
      <c r="E31" s="19"/>
      <c r="F31" s="14" t="str">
        <f aca="false">IF(A31="","",MONTH(A31))</f>
        <v/>
      </c>
      <c r="G31" s="14" t="str">
        <f aca="false">IF(A31="","",YEAR(A31))</f>
        <v/>
      </c>
    </row>
    <row r="32" customFormat="false" ht="15" hidden="false" customHeight="false" outlineLevel="0" collapsed="false">
      <c r="A32" s="17"/>
      <c r="B32" s="16"/>
      <c r="C32" s="16"/>
      <c r="D32" s="16"/>
      <c r="E32" s="19"/>
      <c r="F32" s="14" t="str">
        <f aca="false">IF(A32="","",MONTH(A32))</f>
        <v/>
      </c>
      <c r="G32" s="14" t="str">
        <f aca="false">IF(A32="","",YEAR(A32))</f>
        <v/>
      </c>
    </row>
    <row r="33" customFormat="false" ht="15" hidden="false" customHeight="false" outlineLevel="0" collapsed="false">
      <c r="A33" s="17"/>
      <c r="B33" s="16"/>
      <c r="C33" s="16"/>
      <c r="D33" s="16"/>
      <c r="E33" s="19"/>
      <c r="F33" s="14" t="str">
        <f aca="false">IF(A33="","",MONTH(A33))</f>
        <v/>
      </c>
      <c r="G33" s="14" t="str">
        <f aca="false">IF(A33="","",YEAR(A33))</f>
        <v/>
      </c>
    </row>
    <row r="34" customFormat="false" ht="15" hidden="false" customHeight="false" outlineLevel="0" collapsed="false">
      <c r="A34" s="17"/>
      <c r="B34" s="16"/>
      <c r="C34" s="16"/>
      <c r="D34" s="16"/>
      <c r="E34" s="19"/>
      <c r="F34" s="14" t="str">
        <f aca="false">IF(A34="","",MONTH(A34))</f>
        <v/>
      </c>
      <c r="G34" s="14" t="str">
        <f aca="false">IF(A34="","",YEAR(A34))</f>
        <v/>
      </c>
    </row>
    <row r="35" customFormat="false" ht="15" hidden="false" customHeight="false" outlineLevel="0" collapsed="false">
      <c r="A35" s="17"/>
      <c r="B35" s="16"/>
      <c r="C35" s="16"/>
      <c r="D35" s="16"/>
      <c r="E35" s="19"/>
      <c r="F35" s="14" t="str">
        <f aca="false">IF(A35="","",MONTH(A35))</f>
        <v/>
      </c>
      <c r="G35" s="14" t="str">
        <f aca="false">IF(A35="","",YEAR(A35))</f>
        <v/>
      </c>
    </row>
    <row r="36" customFormat="false" ht="15" hidden="false" customHeight="false" outlineLevel="0" collapsed="false">
      <c r="A36" s="17"/>
      <c r="B36" s="16"/>
      <c r="C36" s="16"/>
      <c r="D36" s="16"/>
      <c r="E36" s="19"/>
      <c r="F36" s="14" t="str">
        <f aca="false">IF(A36="","",MONTH(A36))</f>
        <v/>
      </c>
      <c r="G36" s="14" t="str">
        <f aca="false">IF(A36="","",YEAR(A36))</f>
        <v/>
      </c>
    </row>
    <row r="37" customFormat="false" ht="15" hidden="false" customHeight="false" outlineLevel="0" collapsed="false">
      <c r="A37" s="17"/>
      <c r="B37" s="16"/>
      <c r="C37" s="16"/>
      <c r="D37" s="16"/>
      <c r="E37" s="19"/>
      <c r="F37" s="14" t="str">
        <f aca="false">IF(A37="","",MONTH(A37))</f>
        <v/>
      </c>
      <c r="G37" s="14" t="str">
        <f aca="false">IF(A37="","",YEAR(A37))</f>
        <v/>
      </c>
    </row>
    <row r="38" customFormat="false" ht="15" hidden="false" customHeight="false" outlineLevel="0" collapsed="false">
      <c r="A38" s="17"/>
      <c r="B38" s="16"/>
      <c r="C38" s="16"/>
      <c r="D38" s="16"/>
      <c r="E38" s="19"/>
      <c r="F38" s="14" t="str">
        <f aca="false">IF(A38="","",MONTH(A38))</f>
        <v/>
      </c>
      <c r="G38" s="14" t="str">
        <f aca="false">IF(A38="","",YEAR(A38))</f>
        <v/>
      </c>
    </row>
    <row r="39" customFormat="false" ht="15" hidden="false" customHeight="false" outlineLevel="0" collapsed="false">
      <c r="A39" s="17"/>
      <c r="B39" s="16"/>
      <c r="C39" s="16"/>
      <c r="D39" s="16"/>
      <c r="E39" s="19"/>
      <c r="F39" s="14" t="str">
        <f aca="false">IF(A39="","",MONTH(A39))</f>
        <v/>
      </c>
      <c r="G39" s="14" t="str">
        <f aca="false">IF(A39="","",YEAR(A39))</f>
        <v/>
      </c>
    </row>
    <row r="40" customFormat="false" ht="15" hidden="false" customHeight="false" outlineLevel="0" collapsed="false">
      <c r="A40" s="17"/>
      <c r="B40" s="16"/>
      <c r="C40" s="16"/>
      <c r="D40" s="16"/>
      <c r="E40" s="19"/>
      <c r="F40" s="14" t="str">
        <f aca="false">IF(A40="","",MONTH(A40))</f>
        <v/>
      </c>
      <c r="G40" s="14" t="str">
        <f aca="false">IF(A40="","",YEAR(A40))</f>
        <v/>
      </c>
    </row>
    <row r="41" customFormat="false" ht="15" hidden="false" customHeight="false" outlineLevel="0" collapsed="false">
      <c r="A41" s="17"/>
      <c r="B41" s="16"/>
      <c r="C41" s="16"/>
      <c r="D41" s="16"/>
      <c r="E41" s="19"/>
      <c r="F41" s="14" t="str">
        <f aca="false">IF(A41="","",MONTH(A41))</f>
        <v/>
      </c>
      <c r="G41" s="14" t="str">
        <f aca="false">IF(A41="","",YEAR(A41))</f>
        <v/>
      </c>
    </row>
    <row r="42" customFormat="false" ht="15" hidden="false" customHeight="false" outlineLevel="0" collapsed="false">
      <c r="A42" s="17"/>
      <c r="B42" s="16"/>
      <c r="C42" s="16"/>
      <c r="D42" s="16"/>
      <c r="E42" s="19"/>
      <c r="F42" s="14" t="str">
        <f aca="false">IF(A42="","",MONTH(A42))</f>
        <v/>
      </c>
      <c r="G42" s="14" t="str">
        <f aca="false">IF(A42="","",YEAR(A42))</f>
        <v/>
      </c>
    </row>
    <row r="43" customFormat="false" ht="15" hidden="false" customHeight="false" outlineLevel="0" collapsed="false">
      <c r="A43" s="17"/>
      <c r="B43" s="16"/>
      <c r="C43" s="16"/>
      <c r="D43" s="16"/>
      <c r="E43" s="19"/>
      <c r="F43" s="14" t="str">
        <f aca="false">IF(A43="","",MONTH(A43))</f>
        <v/>
      </c>
      <c r="G43" s="14" t="str">
        <f aca="false">IF(A43="","",YEAR(A43))</f>
        <v/>
      </c>
    </row>
    <row r="44" customFormat="false" ht="15" hidden="false" customHeight="false" outlineLevel="0" collapsed="false">
      <c r="A44" s="17"/>
      <c r="B44" s="16"/>
      <c r="C44" s="16"/>
      <c r="D44" s="16"/>
      <c r="E44" s="19"/>
      <c r="F44" s="14" t="str">
        <f aca="false">IF(A44="","",MONTH(A44))</f>
        <v/>
      </c>
      <c r="G44" s="14" t="str">
        <f aca="false">IF(A44="","",YEAR(A44))</f>
        <v/>
      </c>
    </row>
    <row r="45" customFormat="false" ht="15" hidden="false" customHeight="false" outlineLevel="0" collapsed="false">
      <c r="A45" s="17"/>
      <c r="B45" s="16"/>
      <c r="C45" s="16"/>
      <c r="D45" s="16"/>
      <c r="E45" s="19"/>
      <c r="F45" s="14" t="str">
        <f aca="false">IF(A45="","",MONTH(A45))</f>
        <v/>
      </c>
      <c r="G45" s="14" t="str">
        <f aca="false">IF(A45="","",YEAR(A45))</f>
        <v/>
      </c>
    </row>
    <row r="46" customFormat="false" ht="15" hidden="false" customHeight="false" outlineLevel="0" collapsed="false">
      <c r="A46" s="17"/>
      <c r="B46" s="16"/>
      <c r="C46" s="16"/>
      <c r="D46" s="16"/>
      <c r="E46" s="19"/>
      <c r="F46" s="14" t="str">
        <f aca="false">IF(A46="","",MONTH(A46))</f>
        <v/>
      </c>
      <c r="G46" s="14" t="str">
        <f aca="false">IF(A46="","",YEAR(A46))</f>
        <v/>
      </c>
    </row>
    <row r="47" customFormat="false" ht="15" hidden="false" customHeight="false" outlineLevel="0" collapsed="false">
      <c r="A47" s="17"/>
      <c r="B47" s="16"/>
      <c r="C47" s="16"/>
      <c r="D47" s="16"/>
      <c r="E47" s="19"/>
      <c r="F47" s="14" t="str">
        <f aca="false">IF(A47="","",MONTH(A47))</f>
        <v/>
      </c>
      <c r="G47" s="14" t="str">
        <f aca="false">IF(A47="","",YEAR(A47))</f>
        <v/>
      </c>
    </row>
    <row r="48" customFormat="false" ht="15" hidden="false" customHeight="false" outlineLevel="0" collapsed="false">
      <c r="A48" s="17"/>
      <c r="B48" s="16"/>
      <c r="C48" s="16"/>
      <c r="D48" s="16"/>
      <c r="E48" s="19"/>
      <c r="F48" s="14" t="str">
        <f aca="false">IF(A48="","",MONTH(A48))</f>
        <v/>
      </c>
      <c r="G48" s="14" t="str">
        <f aca="false">IF(A48="","",YEAR(A48))</f>
        <v/>
      </c>
    </row>
    <row r="49" customFormat="false" ht="15" hidden="false" customHeight="false" outlineLevel="0" collapsed="false">
      <c r="A49" s="17"/>
      <c r="B49" s="16"/>
      <c r="C49" s="16"/>
      <c r="D49" s="16"/>
      <c r="E49" s="19"/>
      <c r="F49" s="14" t="str">
        <f aca="false">IF(A49="","",MONTH(A49))</f>
        <v/>
      </c>
      <c r="G49" s="14" t="str">
        <f aca="false">IF(A49="","",YEAR(A49))</f>
        <v/>
      </c>
    </row>
    <row r="50" customFormat="false" ht="15" hidden="false" customHeight="false" outlineLevel="0" collapsed="false">
      <c r="A50" s="17"/>
      <c r="B50" s="16"/>
      <c r="C50" s="16"/>
      <c r="D50" s="16"/>
      <c r="E50" s="19"/>
      <c r="F50" s="14" t="str">
        <f aca="false">IF(A50="","",MONTH(A50))</f>
        <v/>
      </c>
      <c r="G50" s="14" t="str">
        <f aca="false">IF(A50="","",YEAR(A50))</f>
        <v/>
      </c>
    </row>
    <row r="51" customFormat="false" ht="15" hidden="false" customHeight="false" outlineLevel="0" collapsed="false">
      <c r="A51" s="17"/>
      <c r="B51" s="16"/>
      <c r="C51" s="16"/>
      <c r="D51" s="16"/>
      <c r="E51" s="19"/>
      <c r="F51" s="14" t="str">
        <f aca="false">IF(A51="","",MONTH(A51))</f>
        <v/>
      </c>
      <c r="G51" s="14" t="str">
        <f aca="false">IF(A51="","",YEAR(A51))</f>
        <v/>
      </c>
    </row>
    <row r="52" customFormat="false" ht="15" hidden="false" customHeight="false" outlineLevel="0" collapsed="false">
      <c r="A52" s="17"/>
      <c r="B52" s="16"/>
      <c r="C52" s="16"/>
      <c r="D52" s="16"/>
      <c r="E52" s="19"/>
      <c r="F52" s="14" t="str">
        <f aca="false">IF(A52="","",MONTH(A52))</f>
        <v/>
      </c>
      <c r="G52" s="14" t="str">
        <f aca="false">IF(A52="","",YEAR(A52))</f>
        <v/>
      </c>
    </row>
    <row r="53" customFormat="false" ht="15" hidden="false" customHeight="false" outlineLevel="0" collapsed="false">
      <c r="A53" s="17"/>
      <c r="B53" s="16"/>
      <c r="C53" s="16"/>
      <c r="D53" s="16"/>
      <c r="E53" s="19"/>
      <c r="F53" s="14" t="str">
        <f aca="false">IF(A53="","",MONTH(A53))</f>
        <v/>
      </c>
      <c r="G53" s="14" t="str">
        <f aca="false">IF(A53="","",YEAR(A53))</f>
        <v/>
      </c>
    </row>
    <row r="54" customFormat="false" ht="15" hidden="false" customHeight="false" outlineLevel="0" collapsed="false">
      <c r="A54" s="17"/>
      <c r="B54" s="16"/>
      <c r="C54" s="16"/>
      <c r="D54" s="16"/>
      <c r="E54" s="19"/>
      <c r="F54" s="14" t="str">
        <f aca="false">IF(A54="","",MONTH(A54))</f>
        <v/>
      </c>
      <c r="G54" s="14" t="str">
        <f aca="false">IF(A54="","",YEAR(A54))</f>
        <v/>
      </c>
    </row>
    <row r="55" customFormat="false" ht="15" hidden="false" customHeight="false" outlineLevel="0" collapsed="false">
      <c r="A55" s="17"/>
      <c r="B55" s="16"/>
      <c r="C55" s="16"/>
      <c r="D55" s="16"/>
      <c r="E55" s="19"/>
      <c r="F55" s="14" t="str">
        <f aca="false">IF(A55="","",MONTH(A55))</f>
        <v/>
      </c>
      <c r="G55" s="14" t="str">
        <f aca="false">IF(A55="","",YEAR(A55))</f>
        <v/>
      </c>
    </row>
    <row r="56" customFormat="false" ht="15" hidden="false" customHeight="false" outlineLevel="0" collapsed="false">
      <c r="A56" s="17"/>
      <c r="B56" s="16"/>
      <c r="C56" s="16"/>
      <c r="D56" s="16"/>
      <c r="E56" s="19"/>
      <c r="F56" s="14" t="str">
        <f aca="false">IF(A56="","",MONTH(A56))</f>
        <v/>
      </c>
      <c r="G56" s="14" t="str">
        <f aca="false">IF(A56="","",YEAR(A56))</f>
        <v/>
      </c>
    </row>
    <row r="57" customFormat="false" ht="15" hidden="false" customHeight="false" outlineLevel="0" collapsed="false">
      <c r="A57" s="17"/>
      <c r="B57" s="16"/>
      <c r="C57" s="16"/>
      <c r="D57" s="16"/>
      <c r="E57" s="19"/>
      <c r="F57" s="14" t="str">
        <f aca="false">IF(A57="","",MONTH(A57))</f>
        <v/>
      </c>
      <c r="G57" s="14" t="str">
        <f aca="false">IF(A57="","",YEAR(A57))</f>
        <v/>
      </c>
    </row>
    <row r="58" customFormat="false" ht="15" hidden="false" customHeight="false" outlineLevel="0" collapsed="false">
      <c r="A58" s="17"/>
      <c r="B58" s="16"/>
      <c r="C58" s="16"/>
      <c r="D58" s="16"/>
      <c r="E58" s="19"/>
      <c r="F58" s="14" t="str">
        <f aca="false">IF(A58="","",MONTH(A58))</f>
        <v/>
      </c>
      <c r="G58" s="14" t="str">
        <f aca="false">IF(A58="","",YEAR(A58))</f>
        <v/>
      </c>
    </row>
    <row r="59" customFormat="false" ht="15" hidden="false" customHeight="false" outlineLevel="0" collapsed="false">
      <c r="A59" s="17"/>
      <c r="B59" s="16"/>
      <c r="C59" s="16"/>
      <c r="D59" s="16"/>
      <c r="E59" s="19"/>
      <c r="F59" s="14" t="str">
        <f aca="false">IF(A59="","",MONTH(A59))</f>
        <v/>
      </c>
      <c r="G59" s="14" t="str">
        <f aca="false">IF(A59="","",YEAR(A59))</f>
        <v/>
      </c>
    </row>
    <row r="60" customFormat="false" ht="15" hidden="false" customHeight="false" outlineLevel="0" collapsed="false">
      <c r="A60" s="17"/>
      <c r="B60" s="16"/>
      <c r="C60" s="16"/>
      <c r="D60" s="16"/>
      <c r="E60" s="19"/>
      <c r="F60" s="14" t="str">
        <f aca="false">IF(A60="","",MONTH(A60))</f>
        <v/>
      </c>
      <c r="G60" s="14" t="str">
        <f aca="false">IF(A60="","",YEAR(A60))</f>
        <v/>
      </c>
    </row>
    <row r="61" customFormat="false" ht="15" hidden="false" customHeight="false" outlineLevel="0" collapsed="false">
      <c r="A61" s="17"/>
      <c r="B61" s="16"/>
      <c r="C61" s="16"/>
      <c r="D61" s="16"/>
      <c r="E61" s="19"/>
      <c r="F61" s="14" t="str">
        <f aca="false">IF(A61="","",MONTH(A61))</f>
        <v/>
      </c>
      <c r="G61" s="14" t="str">
        <f aca="false">IF(A61="","",YEAR(A61))</f>
        <v/>
      </c>
    </row>
    <row r="62" customFormat="false" ht="15" hidden="false" customHeight="false" outlineLevel="0" collapsed="false">
      <c r="A62" s="17"/>
      <c r="B62" s="16"/>
      <c r="C62" s="16"/>
      <c r="D62" s="16"/>
      <c r="E62" s="19"/>
      <c r="F62" s="14" t="str">
        <f aca="false">IF(A62="","",MONTH(A62))</f>
        <v/>
      </c>
      <c r="G62" s="14" t="str">
        <f aca="false">IF(A62="","",YEAR(A62))</f>
        <v/>
      </c>
    </row>
    <row r="63" customFormat="false" ht="15" hidden="false" customHeight="false" outlineLevel="0" collapsed="false">
      <c r="A63" s="17"/>
      <c r="B63" s="16"/>
      <c r="C63" s="16"/>
      <c r="D63" s="16"/>
      <c r="E63" s="19"/>
      <c r="F63" s="14" t="str">
        <f aca="false">IF(A63="","",MONTH(A63))</f>
        <v/>
      </c>
      <c r="G63" s="14" t="str">
        <f aca="false">IF(A63="","",YEAR(A63))</f>
        <v/>
      </c>
    </row>
    <row r="64" customFormat="false" ht="15" hidden="false" customHeight="false" outlineLevel="0" collapsed="false">
      <c r="A64" s="17"/>
      <c r="B64" s="16"/>
      <c r="C64" s="16"/>
      <c r="D64" s="16"/>
      <c r="E64" s="19"/>
      <c r="F64" s="14" t="str">
        <f aca="false">IF(A64="","",MONTH(A64))</f>
        <v/>
      </c>
      <c r="G64" s="14" t="str">
        <f aca="false">IF(A64="","",YEAR(A64))</f>
        <v/>
      </c>
    </row>
    <row r="65" customFormat="false" ht="15" hidden="false" customHeight="false" outlineLevel="0" collapsed="false">
      <c r="A65" s="17"/>
      <c r="B65" s="16"/>
      <c r="C65" s="16"/>
      <c r="D65" s="16"/>
      <c r="E65" s="19"/>
      <c r="F65" s="14" t="str">
        <f aca="false">IF(A65="","",MONTH(A65))</f>
        <v/>
      </c>
      <c r="G65" s="14" t="str">
        <f aca="false">IF(A65="","",YEAR(A65))</f>
        <v/>
      </c>
    </row>
    <row r="66" customFormat="false" ht="15" hidden="false" customHeight="false" outlineLevel="0" collapsed="false">
      <c r="A66" s="17"/>
      <c r="B66" s="16"/>
      <c r="C66" s="16"/>
      <c r="D66" s="16"/>
      <c r="E66" s="19"/>
      <c r="F66" s="14" t="str">
        <f aca="false">IF(A66="","",MONTH(A66))</f>
        <v/>
      </c>
      <c r="G66" s="14" t="str">
        <f aca="false">IF(A66="","",YEAR(A66))</f>
        <v/>
      </c>
    </row>
    <row r="67" customFormat="false" ht="15" hidden="false" customHeight="false" outlineLevel="0" collapsed="false">
      <c r="A67" s="17"/>
      <c r="B67" s="16"/>
      <c r="C67" s="16"/>
      <c r="D67" s="16"/>
      <c r="E67" s="19"/>
      <c r="F67" s="14" t="str">
        <f aca="false">IF(A67="","",MONTH(A67))</f>
        <v/>
      </c>
      <c r="G67" s="14" t="str">
        <f aca="false">IF(A67="","",YEAR(A67))</f>
        <v/>
      </c>
    </row>
    <row r="68" customFormat="false" ht="15" hidden="false" customHeight="false" outlineLevel="0" collapsed="false">
      <c r="A68" s="17"/>
      <c r="B68" s="16"/>
      <c r="C68" s="16"/>
      <c r="D68" s="16"/>
      <c r="E68" s="19"/>
      <c r="F68" s="14" t="str">
        <f aca="false">IF(A68="","",MONTH(A68))</f>
        <v/>
      </c>
      <c r="G68" s="14" t="str">
        <f aca="false">IF(A68="","",YEAR(A68))</f>
        <v/>
      </c>
    </row>
    <row r="69" customFormat="false" ht="15" hidden="false" customHeight="false" outlineLevel="0" collapsed="false">
      <c r="A69" s="17"/>
      <c r="B69" s="16"/>
      <c r="C69" s="16"/>
      <c r="D69" s="16"/>
      <c r="E69" s="19"/>
      <c r="F69" s="14" t="str">
        <f aca="false">IF(A69="","",MONTH(A69))</f>
        <v/>
      </c>
      <c r="G69" s="14" t="str">
        <f aca="false">IF(A69="","",YEAR(A69))</f>
        <v/>
      </c>
    </row>
    <row r="70" customFormat="false" ht="15" hidden="false" customHeight="false" outlineLevel="0" collapsed="false">
      <c r="A70" s="17"/>
      <c r="B70" s="16"/>
      <c r="C70" s="16"/>
      <c r="D70" s="16"/>
      <c r="E70" s="19"/>
      <c r="F70" s="14" t="str">
        <f aca="false">IF(A70="","",MONTH(A70))</f>
        <v/>
      </c>
      <c r="G70" s="14" t="str">
        <f aca="false">IF(A70="","",YEAR(A70))</f>
        <v/>
      </c>
    </row>
    <row r="71" customFormat="false" ht="15" hidden="false" customHeight="false" outlineLevel="0" collapsed="false">
      <c r="A71" s="17"/>
      <c r="B71" s="16"/>
      <c r="C71" s="16"/>
      <c r="D71" s="16"/>
      <c r="E71" s="19"/>
      <c r="F71" s="14" t="str">
        <f aca="false">IF(A71="","",MONTH(A71))</f>
        <v/>
      </c>
      <c r="G71" s="14" t="str">
        <f aca="false">IF(A71="","",YEAR(A71))</f>
        <v/>
      </c>
    </row>
    <row r="72" customFormat="false" ht="15" hidden="false" customHeight="false" outlineLevel="0" collapsed="false">
      <c r="A72" s="17"/>
      <c r="B72" s="16"/>
      <c r="C72" s="16"/>
      <c r="D72" s="16"/>
      <c r="E72" s="19"/>
      <c r="F72" s="14" t="str">
        <f aca="false">IF(A72="","",MONTH(A72))</f>
        <v/>
      </c>
      <c r="G72" s="14" t="str">
        <f aca="false">IF(A72="","",YEAR(A72))</f>
        <v/>
      </c>
    </row>
    <row r="73" customFormat="false" ht="15" hidden="false" customHeight="false" outlineLevel="0" collapsed="false">
      <c r="A73" s="17"/>
      <c r="B73" s="16"/>
      <c r="C73" s="16"/>
      <c r="D73" s="16"/>
      <c r="E73" s="19"/>
      <c r="F73" s="14" t="str">
        <f aca="false">IF(A73="","",MONTH(A73))</f>
        <v/>
      </c>
      <c r="G73" s="14" t="str">
        <f aca="false">IF(A73="","",YEAR(A73))</f>
        <v/>
      </c>
    </row>
    <row r="74" customFormat="false" ht="15" hidden="false" customHeight="false" outlineLevel="0" collapsed="false">
      <c r="A74" s="17"/>
      <c r="B74" s="16"/>
      <c r="C74" s="16"/>
      <c r="D74" s="16"/>
      <c r="E74" s="19"/>
      <c r="F74" s="14" t="str">
        <f aca="false">IF(A74="","",MONTH(A74))</f>
        <v/>
      </c>
      <c r="G74" s="14" t="str">
        <f aca="false">IF(A74="","",YEAR(A74))</f>
        <v/>
      </c>
    </row>
    <row r="75" customFormat="false" ht="15" hidden="false" customHeight="false" outlineLevel="0" collapsed="false">
      <c r="A75" s="17"/>
      <c r="B75" s="16"/>
      <c r="C75" s="16"/>
      <c r="D75" s="16"/>
      <c r="E75" s="19"/>
      <c r="F75" s="14" t="str">
        <f aca="false">IF(A75="","",MONTH(A75))</f>
        <v/>
      </c>
      <c r="G75" s="14" t="str">
        <f aca="false">IF(A75="","",YEAR(A75))</f>
        <v/>
      </c>
    </row>
    <row r="76" customFormat="false" ht="15" hidden="false" customHeight="false" outlineLevel="0" collapsed="false">
      <c r="A76" s="17"/>
      <c r="B76" s="16"/>
      <c r="C76" s="16"/>
      <c r="D76" s="16"/>
      <c r="E76" s="19"/>
      <c r="F76" s="14" t="str">
        <f aca="false">IF(A76="","",MONTH(A76))</f>
        <v/>
      </c>
      <c r="G76" s="14" t="str">
        <f aca="false">IF(A76="","",YEAR(A76))</f>
        <v/>
      </c>
    </row>
    <row r="77" customFormat="false" ht="15" hidden="false" customHeight="false" outlineLevel="0" collapsed="false">
      <c r="A77" s="17"/>
      <c r="B77" s="16"/>
      <c r="C77" s="16"/>
      <c r="D77" s="16"/>
      <c r="E77" s="19"/>
      <c r="F77" s="14" t="str">
        <f aca="false">IF(A77="","",MONTH(A77))</f>
        <v/>
      </c>
      <c r="G77" s="14" t="str">
        <f aca="false">IF(A77="","",YEAR(A77))</f>
        <v/>
      </c>
    </row>
    <row r="78" customFormat="false" ht="15" hidden="false" customHeight="false" outlineLevel="0" collapsed="false">
      <c r="A78" s="17"/>
      <c r="B78" s="16"/>
      <c r="C78" s="16"/>
      <c r="D78" s="16"/>
      <c r="E78" s="19"/>
      <c r="F78" s="14" t="str">
        <f aca="false">IF(A78="","",MONTH(A78))</f>
        <v/>
      </c>
      <c r="G78" s="14" t="str">
        <f aca="false">IF(A78="","",YEAR(A78))</f>
        <v/>
      </c>
    </row>
    <row r="79" customFormat="false" ht="15" hidden="false" customHeight="false" outlineLevel="0" collapsed="false">
      <c r="A79" s="17"/>
      <c r="B79" s="16"/>
      <c r="C79" s="16"/>
      <c r="D79" s="16"/>
      <c r="E79" s="19"/>
      <c r="F79" s="14" t="str">
        <f aca="false">IF(A79="","",MONTH(A79))</f>
        <v/>
      </c>
      <c r="G79" s="14" t="str">
        <f aca="false">IF(A79="","",YEAR(A79))</f>
        <v/>
      </c>
    </row>
    <row r="80" customFormat="false" ht="15" hidden="false" customHeight="false" outlineLevel="0" collapsed="false">
      <c r="A80" s="17"/>
      <c r="B80" s="16"/>
      <c r="C80" s="16"/>
      <c r="D80" s="16"/>
      <c r="E80" s="19"/>
      <c r="F80" s="14" t="str">
        <f aca="false">IF(A80="","",MONTH(A80))</f>
        <v/>
      </c>
      <c r="G80" s="14" t="str">
        <f aca="false">IF(A80="","",YEAR(A80))</f>
        <v/>
      </c>
    </row>
    <row r="81" customFormat="false" ht="15" hidden="false" customHeight="false" outlineLevel="0" collapsed="false">
      <c r="A81" s="17"/>
      <c r="B81" s="16"/>
      <c r="C81" s="16"/>
      <c r="D81" s="16"/>
      <c r="E81" s="19"/>
      <c r="F81" s="14" t="str">
        <f aca="false">IF(A81="","",MONTH(A81))</f>
        <v/>
      </c>
      <c r="G81" s="14" t="str">
        <f aca="false">IF(A81="","",YEAR(A81))</f>
        <v/>
      </c>
    </row>
    <row r="82" customFormat="false" ht="15" hidden="false" customHeight="false" outlineLevel="0" collapsed="false">
      <c r="A82" s="17"/>
      <c r="B82" s="16"/>
      <c r="C82" s="16"/>
      <c r="D82" s="16"/>
      <c r="E82" s="19"/>
      <c r="F82" s="14" t="str">
        <f aca="false">IF(A82="","",MONTH(A82))</f>
        <v/>
      </c>
      <c r="G82" s="14" t="str">
        <f aca="false">IF(A82="","",YEAR(A82))</f>
        <v/>
      </c>
    </row>
    <row r="83" customFormat="false" ht="15" hidden="false" customHeight="false" outlineLevel="0" collapsed="false">
      <c r="A83" s="17"/>
      <c r="B83" s="16"/>
      <c r="C83" s="16"/>
      <c r="D83" s="16"/>
      <c r="E83" s="19"/>
      <c r="F83" s="14" t="str">
        <f aca="false">IF(A83="","",MONTH(A83))</f>
        <v/>
      </c>
      <c r="G83" s="14" t="str">
        <f aca="false">IF(A83="","",YEAR(A83))</f>
        <v/>
      </c>
    </row>
    <row r="84" customFormat="false" ht="15" hidden="false" customHeight="false" outlineLevel="0" collapsed="false">
      <c r="A84" s="17"/>
      <c r="B84" s="16"/>
      <c r="C84" s="16"/>
      <c r="D84" s="16"/>
      <c r="E84" s="19"/>
      <c r="F84" s="14" t="str">
        <f aca="false">IF(A84="","",MONTH(A84))</f>
        <v/>
      </c>
      <c r="G84" s="14" t="str">
        <f aca="false">IF(A84="","",YEAR(A84))</f>
        <v/>
      </c>
    </row>
    <row r="85" customFormat="false" ht="15" hidden="false" customHeight="false" outlineLevel="0" collapsed="false">
      <c r="A85" s="17"/>
      <c r="B85" s="16"/>
      <c r="C85" s="16"/>
      <c r="D85" s="16"/>
      <c r="E85" s="19"/>
      <c r="F85" s="14" t="str">
        <f aca="false">IF(A85="","",MONTH(A85))</f>
        <v/>
      </c>
      <c r="G85" s="14" t="str">
        <f aca="false">IF(A85="","",YEAR(A85))</f>
        <v/>
      </c>
    </row>
    <row r="86" customFormat="false" ht="15" hidden="false" customHeight="false" outlineLevel="0" collapsed="false">
      <c r="A86" s="17"/>
      <c r="B86" s="16"/>
      <c r="C86" s="16"/>
      <c r="D86" s="16"/>
      <c r="E86" s="19"/>
      <c r="F86" s="14" t="str">
        <f aca="false">IF(A86="","",MONTH(A86))</f>
        <v/>
      </c>
      <c r="G86" s="14" t="str">
        <f aca="false">IF(A86="","",YEAR(A86))</f>
        <v/>
      </c>
    </row>
    <row r="87" customFormat="false" ht="15" hidden="false" customHeight="false" outlineLevel="0" collapsed="false">
      <c r="A87" s="17"/>
      <c r="B87" s="16"/>
      <c r="C87" s="16"/>
      <c r="D87" s="16"/>
      <c r="E87" s="19"/>
      <c r="F87" s="14" t="str">
        <f aca="false">IF(A87="","",MONTH(A87))</f>
        <v/>
      </c>
      <c r="G87" s="14" t="str">
        <f aca="false">IF(A87="","",YEAR(A87))</f>
        <v/>
      </c>
    </row>
    <row r="88" customFormat="false" ht="15" hidden="false" customHeight="false" outlineLevel="0" collapsed="false">
      <c r="A88" s="17"/>
      <c r="B88" s="16"/>
      <c r="C88" s="16"/>
      <c r="D88" s="16"/>
      <c r="E88" s="19"/>
      <c r="F88" s="14" t="str">
        <f aca="false">IF(A88="","",MONTH(A88))</f>
        <v/>
      </c>
      <c r="G88" s="14" t="str">
        <f aca="false">IF(A88="","",YEAR(A88))</f>
        <v/>
      </c>
    </row>
    <row r="89" customFormat="false" ht="15" hidden="false" customHeight="false" outlineLevel="0" collapsed="false">
      <c r="A89" s="17"/>
      <c r="B89" s="16"/>
      <c r="C89" s="16"/>
      <c r="D89" s="16"/>
      <c r="E89" s="19"/>
      <c r="F89" s="14" t="str">
        <f aca="false">IF(A89="","",MONTH(A89))</f>
        <v/>
      </c>
      <c r="G89" s="14" t="str">
        <f aca="false">IF(A89="","",YEAR(A89))</f>
        <v/>
      </c>
    </row>
    <row r="90" customFormat="false" ht="15" hidden="false" customHeight="false" outlineLevel="0" collapsed="false">
      <c r="A90" s="17"/>
      <c r="B90" s="16"/>
      <c r="C90" s="16"/>
      <c r="D90" s="16"/>
      <c r="E90" s="19"/>
      <c r="F90" s="14" t="str">
        <f aca="false">IF(A90="","",MONTH(A90))</f>
        <v/>
      </c>
      <c r="G90" s="14" t="str">
        <f aca="false">IF(A90="","",YEAR(A90))</f>
        <v/>
      </c>
    </row>
    <row r="91" customFormat="false" ht="15" hidden="false" customHeight="false" outlineLevel="0" collapsed="false">
      <c r="A91" s="17"/>
      <c r="B91" s="16"/>
      <c r="C91" s="16"/>
      <c r="D91" s="16"/>
      <c r="E91" s="19"/>
      <c r="F91" s="14" t="str">
        <f aca="false">IF(A91="","",MONTH(A91))</f>
        <v/>
      </c>
      <c r="G91" s="14" t="str">
        <f aca="false">IF(A91="","",YEAR(A91))</f>
        <v/>
      </c>
    </row>
    <row r="92" customFormat="false" ht="15" hidden="false" customHeight="false" outlineLevel="0" collapsed="false">
      <c r="A92" s="17"/>
      <c r="B92" s="16"/>
      <c r="C92" s="16"/>
      <c r="D92" s="16"/>
      <c r="E92" s="19"/>
      <c r="F92" s="14" t="str">
        <f aca="false">IF(A92="","",MONTH(A92))</f>
        <v/>
      </c>
      <c r="G92" s="14" t="str">
        <f aca="false">IF(A92="","",YEAR(A92))</f>
        <v/>
      </c>
    </row>
    <row r="93" customFormat="false" ht="15" hidden="false" customHeight="false" outlineLevel="0" collapsed="false">
      <c r="A93" s="17"/>
      <c r="B93" s="16"/>
      <c r="C93" s="16"/>
      <c r="D93" s="16"/>
      <c r="E93" s="19"/>
      <c r="F93" s="14" t="str">
        <f aca="false">IF(A93="","",MONTH(A93))</f>
        <v/>
      </c>
      <c r="G93" s="14" t="str">
        <f aca="false">IF(A93="","",YEAR(A93))</f>
        <v/>
      </c>
    </row>
    <row r="94" customFormat="false" ht="15" hidden="false" customHeight="false" outlineLevel="0" collapsed="false">
      <c r="A94" s="17"/>
      <c r="B94" s="16"/>
      <c r="C94" s="16"/>
      <c r="D94" s="16"/>
      <c r="E94" s="19"/>
      <c r="F94" s="14" t="str">
        <f aca="false">IF(A94="","",MONTH(A94))</f>
        <v/>
      </c>
      <c r="G94" s="14" t="str">
        <f aca="false">IF(A94="","",YEAR(A94))</f>
        <v/>
      </c>
    </row>
    <row r="95" customFormat="false" ht="15" hidden="false" customHeight="false" outlineLevel="0" collapsed="false">
      <c r="A95" s="17"/>
      <c r="B95" s="16"/>
      <c r="C95" s="16"/>
      <c r="D95" s="16"/>
      <c r="E95" s="19"/>
      <c r="F95" s="14" t="str">
        <f aca="false">IF(A95="","",MONTH(A95))</f>
        <v/>
      </c>
      <c r="G95" s="14" t="str">
        <f aca="false">IF(A95="","",YEAR(A95))</f>
        <v/>
      </c>
    </row>
    <row r="96" customFormat="false" ht="15" hidden="false" customHeight="false" outlineLevel="0" collapsed="false">
      <c r="A96" s="17"/>
      <c r="B96" s="16"/>
      <c r="C96" s="16"/>
      <c r="D96" s="16"/>
      <c r="E96" s="19"/>
      <c r="F96" s="14" t="str">
        <f aca="false">IF(A96="","",MONTH(A96))</f>
        <v/>
      </c>
      <c r="G96" s="14" t="str">
        <f aca="false">IF(A96="","",YEAR(A96))</f>
        <v/>
      </c>
    </row>
    <row r="97" customFormat="false" ht="15" hidden="false" customHeight="false" outlineLevel="0" collapsed="false">
      <c r="A97" s="17"/>
      <c r="B97" s="16"/>
      <c r="C97" s="16"/>
      <c r="D97" s="16"/>
      <c r="E97" s="19"/>
      <c r="F97" s="14" t="str">
        <f aca="false">IF(A97="","",MONTH(A97))</f>
        <v/>
      </c>
      <c r="G97" s="14" t="str">
        <f aca="false">IF(A97="","",YEAR(A97))</f>
        <v/>
      </c>
    </row>
    <row r="98" customFormat="false" ht="15" hidden="false" customHeight="false" outlineLevel="0" collapsed="false">
      <c r="A98" s="17"/>
      <c r="B98" s="16"/>
      <c r="C98" s="16"/>
      <c r="D98" s="16"/>
      <c r="E98" s="19"/>
      <c r="F98" s="14" t="str">
        <f aca="false">IF(A98="","",MONTH(A98))</f>
        <v/>
      </c>
      <c r="G98" s="14" t="str">
        <f aca="false">IF(A98="","",YEAR(A98))</f>
        <v/>
      </c>
    </row>
    <row r="99" customFormat="false" ht="15" hidden="false" customHeight="false" outlineLevel="0" collapsed="false">
      <c r="A99" s="17"/>
      <c r="B99" s="16"/>
      <c r="C99" s="16"/>
      <c r="D99" s="16"/>
      <c r="E99" s="19"/>
      <c r="F99" s="14" t="str">
        <f aca="false">IF(A99="","",MONTH(A99))</f>
        <v/>
      </c>
      <c r="G99" s="14" t="str">
        <f aca="false">IF(A99="","",YEAR(A99))</f>
        <v/>
      </c>
    </row>
    <row r="100" customFormat="false" ht="15" hidden="false" customHeight="false" outlineLevel="0" collapsed="false">
      <c r="A100" s="17"/>
      <c r="B100" s="16"/>
      <c r="C100" s="16"/>
      <c r="D100" s="16"/>
      <c r="E100" s="19"/>
      <c r="F100" s="14" t="str">
        <f aca="false">IF(A100="","",MONTH(A100))</f>
        <v/>
      </c>
      <c r="G100" s="14" t="str">
        <f aca="false">IF(A100="","",YEAR(A100))</f>
        <v/>
      </c>
    </row>
    <row r="101" customFormat="false" ht="15" hidden="false" customHeight="false" outlineLevel="0" collapsed="false">
      <c r="A101" s="17"/>
      <c r="B101" s="16"/>
      <c r="C101" s="16"/>
      <c r="D101" s="16"/>
      <c r="E101" s="19"/>
      <c r="F101" s="14" t="str">
        <f aca="false">IF(A101="","",MONTH(A101))</f>
        <v/>
      </c>
      <c r="G101" s="14" t="str">
        <f aca="false">IF(A101="","",YEAR(A101))</f>
        <v/>
      </c>
    </row>
    <row r="102" customFormat="false" ht="15" hidden="false" customHeight="false" outlineLevel="0" collapsed="false">
      <c r="A102" s="17"/>
      <c r="B102" s="16"/>
      <c r="C102" s="16"/>
      <c r="D102" s="16"/>
      <c r="E102" s="19"/>
      <c r="F102" s="14" t="str">
        <f aca="false">IF(A102="","",MONTH(A102))</f>
        <v/>
      </c>
      <c r="G102" s="14" t="str">
        <f aca="false">IF(A102="","",YEAR(A102))</f>
        <v/>
      </c>
    </row>
    <row r="103" customFormat="false" ht="15" hidden="false" customHeight="false" outlineLevel="0" collapsed="false">
      <c r="A103" s="17"/>
      <c r="B103" s="16"/>
      <c r="C103" s="16"/>
      <c r="D103" s="16"/>
      <c r="E103" s="19"/>
      <c r="F103" s="14" t="str">
        <f aca="false">IF(A103="","",MONTH(A103))</f>
        <v/>
      </c>
      <c r="G103" s="14" t="str">
        <f aca="false">IF(A103="","",YEAR(A103))</f>
        <v/>
      </c>
    </row>
    <row r="104" customFormat="false" ht="15" hidden="false" customHeight="false" outlineLevel="0" collapsed="false">
      <c r="A104" s="17"/>
      <c r="B104" s="16"/>
      <c r="C104" s="16"/>
      <c r="D104" s="16"/>
      <c r="E104" s="19"/>
      <c r="F104" s="14" t="str">
        <f aca="false">IF(A104="","",MONTH(A104))</f>
        <v/>
      </c>
      <c r="G104" s="14" t="str">
        <f aca="false">IF(A104="","",YEAR(A104))</f>
        <v/>
      </c>
    </row>
    <row r="105" customFormat="false" ht="15" hidden="false" customHeight="false" outlineLevel="0" collapsed="false">
      <c r="A105" s="17"/>
      <c r="B105" s="16"/>
      <c r="C105" s="16"/>
      <c r="D105" s="16"/>
      <c r="E105" s="19"/>
      <c r="F105" s="14" t="str">
        <f aca="false">IF(A105="","",MONTH(A105))</f>
        <v/>
      </c>
      <c r="G105" s="14" t="str">
        <f aca="false">IF(A105="","",YEAR(A105))</f>
        <v/>
      </c>
    </row>
    <row r="106" customFormat="false" ht="15" hidden="false" customHeight="false" outlineLevel="0" collapsed="false">
      <c r="A106" s="17"/>
      <c r="B106" s="16"/>
      <c r="C106" s="16"/>
      <c r="D106" s="16"/>
      <c r="E106" s="19"/>
      <c r="F106" s="14" t="str">
        <f aca="false">IF(A106="","",MONTH(A106))</f>
        <v/>
      </c>
      <c r="G106" s="14" t="str">
        <f aca="false">IF(A106="","",YEAR(A106))</f>
        <v/>
      </c>
    </row>
    <row r="107" customFormat="false" ht="15" hidden="false" customHeight="false" outlineLevel="0" collapsed="false">
      <c r="A107" s="17"/>
      <c r="B107" s="16"/>
      <c r="C107" s="16"/>
      <c r="D107" s="16"/>
      <c r="E107" s="19"/>
      <c r="F107" s="14" t="str">
        <f aca="false">IF(A107="","",MONTH(A107))</f>
        <v/>
      </c>
      <c r="G107" s="14" t="str">
        <f aca="false">IF(A107="","",YEAR(A107))</f>
        <v/>
      </c>
    </row>
    <row r="108" customFormat="false" ht="15" hidden="false" customHeight="false" outlineLevel="0" collapsed="false">
      <c r="A108" s="17"/>
      <c r="B108" s="16"/>
      <c r="C108" s="16"/>
      <c r="D108" s="16"/>
      <c r="E108" s="19"/>
      <c r="F108" s="14" t="str">
        <f aca="false">IF(A108="","",MONTH(A108))</f>
        <v/>
      </c>
      <c r="G108" s="14" t="str">
        <f aca="false">IF(A108="","",YEAR(A108))</f>
        <v/>
      </c>
    </row>
    <row r="109" customFormat="false" ht="15" hidden="false" customHeight="false" outlineLevel="0" collapsed="false">
      <c r="A109" s="17"/>
      <c r="B109" s="16"/>
      <c r="C109" s="16"/>
      <c r="D109" s="16"/>
      <c r="E109" s="19"/>
      <c r="F109" s="14" t="str">
        <f aca="false">IF(A109="","",MONTH(A109))</f>
        <v/>
      </c>
      <c r="G109" s="14" t="str">
        <f aca="false">IF(A109="","",YEAR(A109))</f>
        <v/>
      </c>
    </row>
    <row r="110" customFormat="false" ht="15" hidden="false" customHeight="false" outlineLevel="0" collapsed="false">
      <c r="A110" s="17"/>
      <c r="B110" s="16"/>
      <c r="C110" s="16"/>
      <c r="D110" s="16"/>
      <c r="E110" s="19"/>
      <c r="F110" s="14" t="str">
        <f aca="false">IF(A110="","",MONTH(A110))</f>
        <v/>
      </c>
      <c r="G110" s="14" t="str">
        <f aca="false">IF(A110="","",YEAR(A110))</f>
        <v/>
      </c>
    </row>
    <row r="111" customFormat="false" ht="15" hidden="false" customHeight="false" outlineLevel="0" collapsed="false">
      <c r="A111" s="17"/>
      <c r="B111" s="16"/>
      <c r="C111" s="16"/>
      <c r="D111" s="16"/>
      <c r="E111" s="19"/>
      <c r="F111" s="14" t="str">
        <f aca="false">IF(A111="","",MONTH(A111))</f>
        <v/>
      </c>
      <c r="G111" s="14" t="str">
        <f aca="false">IF(A111="","",YEAR(A111))</f>
        <v/>
      </c>
    </row>
    <row r="112" customFormat="false" ht="15" hidden="false" customHeight="false" outlineLevel="0" collapsed="false">
      <c r="A112" s="17"/>
      <c r="B112" s="16"/>
      <c r="C112" s="16"/>
      <c r="D112" s="16"/>
      <c r="E112" s="19"/>
      <c r="F112" s="14" t="str">
        <f aca="false">IF(A112="","",MONTH(A112))</f>
        <v/>
      </c>
      <c r="G112" s="14" t="str">
        <f aca="false">IF(A112="","",YEAR(A112))</f>
        <v/>
      </c>
    </row>
    <row r="113" customFormat="false" ht="15" hidden="false" customHeight="false" outlineLevel="0" collapsed="false">
      <c r="A113" s="17"/>
      <c r="B113" s="16"/>
      <c r="C113" s="16"/>
      <c r="D113" s="16"/>
      <c r="E113" s="19"/>
      <c r="F113" s="14" t="str">
        <f aca="false">IF(A113="","",MONTH(A113))</f>
        <v/>
      </c>
      <c r="G113" s="14" t="str">
        <f aca="false">IF(A113="","",YEAR(A113))</f>
        <v/>
      </c>
    </row>
    <row r="114" customFormat="false" ht="15" hidden="false" customHeight="false" outlineLevel="0" collapsed="false">
      <c r="A114" s="17"/>
      <c r="B114" s="16"/>
      <c r="C114" s="16"/>
      <c r="D114" s="16"/>
      <c r="E114" s="19"/>
      <c r="F114" s="14" t="str">
        <f aca="false">IF(A114="","",MONTH(A114))</f>
        <v/>
      </c>
      <c r="G114" s="14" t="str">
        <f aca="false">IF(A114="","",YEAR(A114))</f>
        <v/>
      </c>
    </row>
    <row r="115" customFormat="false" ht="15" hidden="false" customHeight="false" outlineLevel="0" collapsed="false">
      <c r="A115" s="17"/>
      <c r="B115" s="16"/>
      <c r="C115" s="16"/>
      <c r="D115" s="16"/>
      <c r="E115" s="19"/>
      <c r="F115" s="14" t="str">
        <f aca="false">IF(A115="","",MONTH(A115))</f>
        <v/>
      </c>
      <c r="G115" s="14" t="str">
        <f aca="false">IF(A115="","",YEAR(A115))</f>
        <v/>
      </c>
    </row>
    <row r="116" customFormat="false" ht="15" hidden="false" customHeight="false" outlineLevel="0" collapsed="false">
      <c r="A116" s="17"/>
      <c r="B116" s="16"/>
      <c r="C116" s="16"/>
      <c r="D116" s="16"/>
      <c r="E116" s="19"/>
      <c r="F116" s="14" t="str">
        <f aca="false">IF(A116="","",MONTH(A116))</f>
        <v/>
      </c>
      <c r="G116" s="14" t="str">
        <f aca="false">IF(A116="","",YEAR(A116))</f>
        <v/>
      </c>
    </row>
    <row r="117" customFormat="false" ht="15" hidden="false" customHeight="false" outlineLevel="0" collapsed="false">
      <c r="A117" s="17"/>
      <c r="B117" s="16"/>
      <c r="C117" s="16"/>
      <c r="D117" s="16"/>
      <c r="E117" s="19"/>
      <c r="F117" s="14" t="str">
        <f aca="false">IF(A117="","",MONTH(A117))</f>
        <v/>
      </c>
      <c r="G117" s="14" t="str">
        <f aca="false">IF(A117="","",YEAR(A117))</f>
        <v/>
      </c>
    </row>
    <row r="118" customFormat="false" ht="15" hidden="false" customHeight="false" outlineLevel="0" collapsed="false">
      <c r="A118" s="17"/>
      <c r="B118" s="16"/>
      <c r="C118" s="16"/>
      <c r="D118" s="16"/>
      <c r="E118" s="19"/>
      <c r="F118" s="14" t="str">
        <f aca="false">IF(A118="","",MONTH(A118))</f>
        <v/>
      </c>
      <c r="G118" s="14" t="str">
        <f aca="false">IF(A118="","",YEAR(A118))</f>
        <v/>
      </c>
    </row>
    <row r="119" customFormat="false" ht="15" hidden="false" customHeight="false" outlineLevel="0" collapsed="false">
      <c r="A119" s="17"/>
      <c r="B119" s="16"/>
      <c r="C119" s="16"/>
      <c r="D119" s="16"/>
      <c r="E119" s="19"/>
      <c r="F119" s="14" t="str">
        <f aca="false">IF(A119="","",MONTH(A119))</f>
        <v/>
      </c>
      <c r="G119" s="14" t="str">
        <f aca="false">IF(A119="","",YEAR(A119))</f>
        <v/>
      </c>
    </row>
    <row r="120" customFormat="false" ht="15" hidden="false" customHeight="false" outlineLevel="0" collapsed="false">
      <c r="A120" s="17"/>
      <c r="B120" s="16"/>
      <c r="C120" s="16"/>
      <c r="D120" s="16"/>
      <c r="E120" s="19"/>
      <c r="F120" s="14" t="str">
        <f aca="false">IF(A120="","",MONTH(A120))</f>
        <v/>
      </c>
      <c r="G120" s="14" t="str">
        <f aca="false">IF(A120="","",YEAR(A120))</f>
        <v/>
      </c>
    </row>
    <row r="121" customFormat="false" ht="15" hidden="false" customHeight="false" outlineLevel="0" collapsed="false">
      <c r="A121" s="17"/>
      <c r="B121" s="16"/>
      <c r="C121" s="16"/>
      <c r="D121" s="16"/>
      <c r="E121" s="19"/>
      <c r="F121" s="14" t="str">
        <f aca="false">IF(A121="","",MONTH(A121))</f>
        <v/>
      </c>
      <c r="G121" s="14" t="str">
        <f aca="false">IF(A121="","",YEAR(A121))</f>
        <v/>
      </c>
    </row>
    <row r="122" customFormat="false" ht="15" hidden="false" customHeight="false" outlineLevel="0" collapsed="false">
      <c r="A122" s="17"/>
      <c r="B122" s="16"/>
      <c r="C122" s="16"/>
      <c r="D122" s="16"/>
      <c r="E122" s="19"/>
      <c r="F122" s="14" t="str">
        <f aca="false">IF(A122="","",MONTH(A122))</f>
        <v/>
      </c>
      <c r="G122" s="14" t="str">
        <f aca="false">IF(A122="","",YEAR(A122))</f>
        <v/>
      </c>
    </row>
    <row r="123" customFormat="false" ht="15" hidden="false" customHeight="false" outlineLevel="0" collapsed="false">
      <c r="A123" s="17"/>
      <c r="B123" s="16"/>
      <c r="C123" s="16"/>
      <c r="D123" s="16"/>
      <c r="E123" s="19"/>
      <c r="F123" s="14" t="str">
        <f aca="false">IF(A123="","",MONTH(A123))</f>
        <v/>
      </c>
      <c r="G123" s="14" t="str">
        <f aca="false">IF(A123="","",YEAR(A123))</f>
        <v/>
      </c>
    </row>
    <row r="124" customFormat="false" ht="15" hidden="false" customHeight="false" outlineLevel="0" collapsed="false">
      <c r="A124" s="17"/>
      <c r="B124" s="16"/>
      <c r="C124" s="16"/>
      <c r="D124" s="16"/>
      <c r="E124" s="19"/>
      <c r="F124" s="14" t="str">
        <f aca="false">IF(A124="","",MONTH(A124))</f>
        <v/>
      </c>
      <c r="G124" s="14" t="str">
        <f aca="false">IF(A124="","",YEAR(A124))</f>
        <v/>
      </c>
    </row>
    <row r="125" customFormat="false" ht="15" hidden="false" customHeight="false" outlineLevel="0" collapsed="false">
      <c r="A125" s="17"/>
      <c r="B125" s="16"/>
      <c r="C125" s="16"/>
      <c r="D125" s="16"/>
      <c r="E125" s="19"/>
      <c r="F125" s="14" t="str">
        <f aca="false">IF(A125="","",MONTH(A125))</f>
        <v/>
      </c>
      <c r="G125" s="14" t="str">
        <f aca="false">IF(A125="","",YEAR(A125))</f>
        <v/>
      </c>
    </row>
    <row r="126" customFormat="false" ht="15" hidden="false" customHeight="false" outlineLevel="0" collapsed="false">
      <c r="A126" s="17"/>
      <c r="B126" s="16"/>
      <c r="C126" s="16"/>
      <c r="D126" s="16"/>
      <c r="E126" s="19"/>
      <c r="F126" s="14" t="str">
        <f aca="false">IF(A126="","",MONTH(A126))</f>
        <v/>
      </c>
      <c r="G126" s="14" t="str">
        <f aca="false">IF(A126="","",YEAR(A126))</f>
        <v/>
      </c>
    </row>
    <row r="127" customFormat="false" ht="15" hidden="false" customHeight="false" outlineLevel="0" collapsed="false">
      <c r="A127" s="17"/>
      <c r="B127" s="16"/>
      <c r="C127" s="16"/>
      <c r="D127" s="16"/>
      <c r="E127" s="19"/>
      <c r="F127" s="14" t="str">
        <f aca="false">IF(A127="","",MONTH(A127))</f>
        <v/>
      </c>
      <c r="G127" s="14" t="str">
        <f aca="false">IF(A127="","",YEAR(A127))</f>
        <v/>
      </c>
    </row>
    <row r="128" customFormat="false" ht="15" hidden="false" customHeight="false" outlineLevel="0" collapsed="false">
      <c r="A128" s="17"/>
      <c r="B128" s="16"/>
      <c r="C128" s="16"/>
      <c r="D128" s="16"/>
      <c r="E128" s="19"/>
      <c r="F128" s="14" t="str">
        <f aca="false">IF(A128="","",MONTH(A128))</f>
        <v/>
      </c>
      <c r="G128" s="14" t="str">
        <f aca="false">IF(A128="","",YEAR(A128))</f>
        <v/>
      </c>
    </row>
    <row r="129" customFormat="false" ht="15" hidden="false" customHeight="false" outlineLevel="0" collapsed="false">
      <c r="A129" s="17"/>
      <c r="B129" s="16"/>
      <c r="C129" s="16"/>
      <c r="D129" s="16"/>
      <c r="E129" s="19"/>
      <c r="F129" s="14" t="str">
        <f aca="false">IF(A129="","",MONTH(A129))</f>
        <v/>
      </c>
      <c r="G129" s="14" t="str">
        <f aca="false">IF(A129="","",YEAR(A129))</f>
        <v/>
      </c>
    </row>
    <row r="130" customFormat="false" ht="15" hidden="false" customHeight="false" outlineLevel="0" collapsed="false">
      <c r="A130" s="17"/>
      <c r="B130" s="16"/>
      <c r="C130" s="16"/>
      <c r="D130" s="16"/>
      <c r="E130" s="19"/>
      <c r="F130" s="14" t="str">
        <f aca="false">IF(A130="","",MONTH(A130))</f>
        <v/>
      </c>
      <c r="G130" s="14" t="str">
        <f aca="false">IF(A130="","",YEAR(A130))</f>
        <v/>
      </c>
    </row>
    <row r="131" customFormat="false" ht="15" hidden="false" customHeight="false" outlineLevel="0" collapsed="false">
      <c r="A131" s="17"/>
      <c r="B131" s="16"/>
      <c r="C131" s="16"/>
      <c r="D131" s="16"/>
      <c r="E131" s="19"/>
      <c r="F131" s="14" t="str">
        <f aca="false">IF(A131="","",MONTH(A131))</f>
        <v/>
      </c>
      <c r="G131" s="14" t="str">
        <f aca="false">IF(A131="","",YEAR(A131))</f>
        <v/>
      </c>
    </row>
    <row r="132" customFormat="false" ht="15" hidden="false" customHeight="false" outlineLevel="0" collapsed="false">
      <c r="A132" s="17"/>
      <c r="B132" s="16"/>
      <c r="C132" s="16"/>
      <c r="D132" s="16"/>
      <c r="E132" s="19"/>
      <c r="F132" s="14" t="str">
        <f aca="false">IF(A132="","",MONTH(A132))</f>
        <v/>
      </c>
      <c r="G132" s="14" t="str">
        <f aca="false">IF(A132="","",YEAR(A132))</f>
        <v/>
      </c>
    </row>
    <row r="133" customFormat="false" ht="15" hidden="false" customHeight="false" outlineLevel="0" collapsed="false">
      <c r="A133" s="17"/>
      <c r="B133" s="16"/>
      <c r="C133" s="16"/>
      <c r="D133" s="16"/>
      <c r="E133" s="19"/>
      <c r="F133" s="14" t="str">
        <f aca="false">IF(A133="","",MONTH(A133))</f>
        <v/>
      </c>
      <c r="G133" s="14" t="str">
        <f aca="false">IF(A133="","",YEAR(A133))</f>
        <v/>
      </c>
    </row>
    <row r="134" customFormat="false" ht="15" hidden="false" customHeight="false" outlineLevel="0" collapsed="false">
      <c r="A134" s="17"/>
      <c r="B134" s="16"/>
      <c r="C134" s="16"/>
      <c r="D134" s="16"/>
      <c r="E134" s="19"/>
      <c r="F134" s="14" t="str">
        <f aca="false">IF(A134="","",MONTH(A134))</f>
        <v/>
      </c>
      <c r="G134" s="14" t="str">
        <f aca="false">IF(A134="","",YEAR(A134))</f>
        <v/>
      </c>
    </row>
    <row r="135" customFormat="false" ht="15" hidden="false" customHeight="false" outlineLevel="0" collapsed="false">
      <c r="A135" s="17"/>
      <c r="B135" s="16"/>
      <c r="C135" s="16"/>
      <c r="D135" s="16"/>
      <c r="E135" s="19"/>
      <c r="F135" s="14" t="str">
        <f aca="false">IF(A135="","",MONTH(A135))</f>
        <v/>
      </c>
      <c r="G135" s="14" t="str">
        <f aca="false">IF(A135="","",YEAR(A135))</f>
        <v/>
      </c>
    </row>
    <row r="136" customFormat="false" ht="15" hidden="false" customHeight="false" outlineLevel="0" collapsed="false">
      <c r="A136" s="17"/>
      <c r="B136" s="16"/>
      <c r="C136" s="16"/>
      <c r="D136" s="16"/>
      <c r="E136" s="19"/>
      <c r="F136" s="14" t="str">
        <f aca="false">IF(A136="","",MONTH(A136))</f>
        <v/>
      </c>
      <c r="G136" s="14" t="str">
        <f aca="false">IF(A136="","",YEAR(A136))</f>
        <v/>
      </c>
    </row>
    <row r="137" customFormat="false" ht="15" hidden="false" customHeight="false" outlineLevel="0" collapsed="false">
      <c r="A137" s="17"/>
      <c r="B137" s="16"/>
      <c r="C137" s="16"/>
      <c r="D137" s="16"/>
      <c r="E137" s="19"/>
      <c r="F137" s="14" t="str">
        <f aca="false">IF(A137="","",MONTH(A137))</f>
        <v/>
      </c>
      <c r="G137" s="14" t="str">
        <f aca="false">IF(A137="","",YEAR(A137))</f>
        <v/>
      </c>
    </row>
    <row r="138" customFormat="false" ht="15" hidden="false" customHeight="false" outlineLevel="0" collapsed="false">
      <c r="A138" s="17"/>
      <c r="B138" s="16"/>
      <c r="C138" s="16"/>
      <c r="D138" s="16"/>
      <c r="E138" s="19"/>
      <c r="F138" s="14" t="str">
        <f aca="false">IF(A138="","",MONTH(A138))</f>
        <v/>
      </c>
      <c r="G138" s="14" t="str">
        <f aca="false">IF(A138="","",YEAR(A138))</f>
        <v/>
      </c>
    </row>
    <row r="139" customFormat="false" ht="15" hidden="false" customHeight="false" outlineLevel="0" collapsed="false">
      <c r="A139" s="17"/>
      <c r="B139" s="16"/>
      <c r="C139" s="16"/>
      <c r="D139" s="16"/>
      <c r="E139" s="19"/>
      <c r="F139" s="14" t="str">
        <f aca="false">IF(A139="","",MONTH(A139))</f>
        <v/>
      </c>
      <c r="G139" s="14" t="str">
        <f aca="false">IF(A139="","",YEAR(A139))</f>
        <v/>
      </c>
    </row>
    <row r="140" customFormat="false" ht="15" hidden="false" customHeight="false" outlineLevel="0" collapsed="false">
      <c r="A140" s="17"/>
      <c r="B140" s="16"/>
      <c r="C140" s="16"/>
      <c r="D140" s="16"/>
      <c r="E140" s="19"/>
      <c r="F140" s="14" t="str">
        <f aca="false">IF(A140="","",MONTH(A140))</f>
        <v/>
      </c>
      <c r="G140" s="14" t="str">
        <f aca="false">IF(A140="","",YEAR(A140))</f>
        <v/>
      </c>
    </row>
    <row r="141" customFormat="false" ht="15" hidden="false" customHeight="false" outlineLevel="0" collapsed="false">
      <c r="A141" s="17"/>
      <c r="B141" s="16"/>
      <c r="C141" s="16"/>
      <c r="D141" s="16"/>
      <c r="E141" s="19"/>
      <c r="F141" s="14" t="str">
        <f aca="false">IF(A141="","",MONTH(A141))</f>
        <v/>
      </c>
      <c r="G141" s="14" t="str">
        <f aca="false">IF(A141="","",YEAR(A141))</f>
        <v/>
      </c>
    </row>
    <row r="142" customFormat="false" ht="15" hidden="false" customHeight="false" outlineLevel="0" collapsed="false">
      <c r="A142" s="17"/>
      <c r="B142" s="16"/>
      <c r="C142" s="16"/>
      <c r="D142" s="16"/>
      <c r="E142" s="19"/>
      <c r="F142" s="14" t="str">
        <f aca="false">IF(A142="","",MONTH(A142))</f>
        <v/>
      </c>
      <c r="G142" s="14" t="str">
        <f aca="false">IF(A142="","",YEAR(A142))</f>
        <v/>
      </c>
    </row>
    <row r="143" customFormat="false" ht="15" hidden="false" customHeight="false" outlineLevel="0" collapsed="false">
      <c r="A143" s="17"/>
      <c r="B143" s="16"/>
      <c r="C143" s="16"/>
      <c r="D143" s="16"/>
      <c r="E143" s="19"/>
      <c r="F143" s="14" t="str">
        <f aca="false">IF(A143="","",MONTH(A143))</f>
        <v/>
      </c>
      <c r="G143" s="14" t="str">
        <f aca="false">IF(A143="","",YEAR(A143))</f>
        <v/>
      </c>
    </row>
    <row r="144" customFormat="false" ht="15" hidden="false" customHeight="false" outlineLevel="0" collapsed="false">
      <c r="A144" s="17"/>
      <c r="B144" s="16"/>
      <c r="C144" s="16"/>
      <c r="D144" s="16"/>
      <c r="E144" s="19"/>
      <c r="F144" s="14" t="str">
        <f aca="false">IF(A144="","",MONTH(A144))</f>
        <v/>
      </c>
      <c r="G144" s="14" t="str">
        <f aca="false">IF(A144="","",YEAR(A144))</f>
        <v/>
      </c>
    </row>
    <row r="145" customFormat="false" ht="15" hidden="false" customHeight="false" outlineLevel="0" collapsed="false">
      <c r="A145" s="17"/>
      <c r="B145" s="16"/>
      <c r="C145" s="16"/>
      <c r="D145" s="16"/>
      <c r="E145" s="19"/>
      <c r="F145" s="14" t="str">
        <f aca="false">IF(A145="","",MONTH(A145))</f>
        <v/>
      </c>
      <c r="G145" s="14" t="str">
        <f aca="false">IF(A145="","",YEAR(A145))</f>
        <v/>
      </c>
    </row>
    <row r="146" customFormat="false" ht="15" hidden="false" customHeight="false" outlineLevel="0" collapsed="false">
      <c r="A146" s="17"/>
      <c r="B146" s="16"/>
      <c r="C146" s="16"/>
      <c r="D146" s="16"/>
      <c r="E146" s="19"/>
      <c r="F146" s="14" t="str">
        <f aca="false">IF(A146="","",MONTH(A146))</f>
        <v/>
      </c>
      <c r="G146" s="14" t="str">
        <f aca="false">IF(A146="","",YEAR(A146))</f>
        <v/>
      </c>
    </row>
    <row r="147" customFormat="false" ht="15" hidden="false" customHeight="false" outlineLevel="0" collapsed="false">
      <c r="A147" s="17"/>
      <c r="B147" s="16"/>
      <c r="C147" s="16"/>
      <c r="D147" s="16"/>
      <c r="E147" s="19"/>
      <c r="F147" s="14" t="str">
        <f aca="false">IF(A147="","",MONTH(A147))</f>
        <v/>
      </c>
      <c r="G147" s="14" t="str">
        <f aca="false">IF(A147="","",YEAR(A147))</f>
        <v/>
      </c>
    </row>
    <row r="148" customFormat="false" ht="15" hidden="false" customHeight="false" outlineLevel="0" collapsed="false">
      <c r="A148" s="17"/>
      <c r="B148" s="16"/>
      <c r="C148" s="16"/>
      <c r="D148" s="16"/>
      <c r="E148" s="19"/>
      <c r="F148" s="14" t="str">
        <f aca="false">IF(A148="","",MONTH(A148))</f>
        <v/>
      </c>
      <c r="G148" s="14" t="str">
        <f aca="false">IF(A148="","",YEAR(A148))</f>
        <v/>
      </c>
    </row>
    <row r="149" customFormat="false" ht="15" hidden="false" customHeight="false" outlineLevel="0" collapsed="false">
      <c r="A149" s="17"/>
      <c r="B149" s="16"/>
      <c r="C149" s="16"/>
      <c r="D149" s="16"/>
      <c r="E149" s="19"/>
      <c r="F149" s="14" t="str">
        <f aca="false">IF(A149="","",MONTH(A149))</f>
        <v/>
      </c>
      <c r="G149" s="14" t="str">
        <f aca="false">IF(A149="","",YEAR(A149))</f>
        <v/>
      </c>
    </row>
    <row r="150" customFormat="false" ht="15" hidden="false" customHeight="false" outlineLevel="0" collapsed="false">
      <c r="A150" s="17"/>
      <c r="B150" s="16"/>
      <c r="C150" s="16"/>
      <c r="D150" s="16"/>
      <c r="E150" s="19"/>
      <c r="F150" s="14" t="str">
        <f aca="false">IF(A150="","",MONTH(A150))</f>
        <v/>
      </c>
      <c r="G150" s="14" t="str">
        <f aca="false">IF(A150="","",YEAR(A150))</f>
        <v/>
      </c>
    </row>
    <row r="151" customFormat="false" ht="15" hidden="false" customHeight="false" outlineLevel="0" collapsed="false">
      <c r="A151" s="17"/>
      <c r="B151" s="16"/>
      <c r="C151" s="16"/>
      <c r="D151" s="16"/>
      <c r="E151" s="19"/>
      <c r="F151" s="14" t="str">
        <f aca="false">IF(A151="","",MONTH(A151))</f>
        <v/>
      </c>
      <c r="G151" s="14" t="str">
        <f aca="false">IF(A151="","",YEAR(A151))</f>
        <v/>
      </c>
    </row>
    <row r="152" customFormat="false" ht="15" hidden="false" customHeight="false" outlineLevel="0" collapsed="false">
      <c r="A152" s="17"/>
      <c r="B152" s="16"/>
      <c r="C152" s="16"/>
      <c r="D152" s="16"/>
      <c r="E152" s="19"/>
      <c r="F152" s="14" t="str">
        <f aca="false">IF(A152="","",MONTH(A152))</f>
        <v/>
      </c>
      <c r="G152" s="14" t="str">
        <f aca="false">IF(A152="","",YEAR(A152))</f>
        <v/>
      </c>
    </row>
    <row r="153" customFormat="false" ht="15" hidden="false" customHeight="false" outlineLevel="0" collapsed="false">
      <c r="A153" s="17"/>
      <c r="B153" s="16"/>
      <c r="C153" s="16"/>
      <c r="D153" s="16"/>
      <c r="E153" s="19"/>
      <c r="F153" s="14" t="str">
        <f aca="false">IF(A153="","",MONTH(A153))</f>
        <v/>
      </c>
      <c r="G153" s="14" t="str">
        <f aca="false">IF(A153="","",YEAR(A153))</f>
        <v/>
      </c>
    </row>
    <row r="154" customFormat="false" ht="15" hidden="false" customHeight="false" outlineLevel="0" collapsed="false">
      <c r="A154" s="17"/>
      <c r="B154" s="16"/>
      <c r="C154" s="16"/>
      <c r="D154" s="16"/>
      <c r="E154" s="19"/>
      <c r="F154" s="14" t="str">
        <f aca="false">IF(A154="","",MONTH(A154))</f>
        <v/>
      </c>
      <c r="G154" s="14" t="str">
        <f aca="false">IF(A154="","",YEAR(A154))</f>
        <v/>
      </c>
    </row>
    <row r="155" customFormat="false" ht="15" hidden="false" customHeight="false" outlineLevel="0" collapsed="false">
      <c r="A155" s="17"/>
      <c r="B155" s="16"/>
      <c r="C155" s="16"/>
      <c r="D155" s="16"/>
      <c r="E155" s="19"/>
      <c r="F155" s="14" t="str">
        <f aca="false">IF(A155="","",MONTH(A155))</f>
        <v/>
      </c>
      <c r="G155" s="14" t="str">
        <f aca="false">IF(A155="","",YEAR(A155))</f>
        <v/>
      </c>
    </row>
    <row r="156" customFormat="false" ht="15" hidden="false" customHeight="false" outlineLevel="0" collapsed="false">
      <c r="A156" s="17"/>
      <c r="B156" s="16"/>
      <c r="C156" s="16"/>
      <c r="D156" s="16"/>
      <c r="E156" s="19"/>
      <c r="F156" s="14" t="str">
        <f aca="false">IF(A156="","",MONTH(A156))</f>
        <v/>
      </c>
      <c r="G156" s="14" t="str">
        <f aca="false">IF(A156="","",YEAR(A156))</f>
        <v/>
      </c>
    </row>
    <row r="157" customFormat="false" ht="15" hidden="false" customHeight="false" outlineLevel="0" collapsed="false">
      <c r="A157" s="17"/>
      <c r="B157" s="16"/>
      <c r="C157" s="16"/>
      <c r="D157" s="16"/>
      <c r="E157" s="19"/>
      <c r="F157" s="14" t="str">
        <f aca="false">IF(A157="","",MONTH(A157))</f>
        <v/>
      </c>
      <c r="G157" s="14" t="str">
        <f aca="false">IF(A157="","",YEAR(A157))</f>
        <v/>
      </c>
    </row>
    <row r="158" customFormat="false" ht="15" hidden="false" customHeight="false" outlineLevel="0" collapsed="false">
      <c r="A158" s="17"/>
      <c r="B158" s="16"/>
      <c r="C158" s="16"/>
      <c r="D158" s="16"/>
      <c r="E158" s="19"/>
      <c r="F158" s="14" t="str">
        <f aca="false">IF(A158="","",MONTH(A158))</f>
        <v/>
      </c>
      <c r="G158" s="14" t="str">
        <f aca="false">IF(A158="","",YEAR(A158))</f>
        <v/>
      </c>
    </row>
    <row r="159" customFormat="false" ht="15" hidden="false" customHeight="false" outlineLevel="0" collapsed="false">
      <c r="A159" s="17"/>
      <c r="B159" s="16"/>
      <c r="C159" s="16"/>
      <c r="D159" s="16"/>
      <c r="E159" s="19"/>
      <c r="F159" s="14" t="str">
        <f aca="false">IF(A159="","",MONTH(A159))</f>
        <v/>
      </c>
      <c r="G159" s="14" t="str">
        <f aca="false">IF(A159="","",YEAR(A159))</f>
        <v/>
      </c>
    </row>
    <row r="160" customFormat="false" ht="15" hidden="false" customHeight="false" outlineLevel="0" collapsed="false">
      <c r="A160" s="17"/>
      <c r="B160" s="16"/>
      <c r="C160" s="16"/>
      <c r="D160" s="16"/>
      <c r="E160" s="19"/>
      <c r="F160" s="14" t="str">
        <f aca="false">IF(A160="","",MONTH(A160))</f>
        <v/>
      </c>
      <c r="G160" s="14" t="str">
        <f aca="false">IF(A160="","",YEAR(A160))</f>
        <v/>
      </c>
    </row>
    <row r="161" customFormat="false" ht="15" hidden="false" customHeight="false" outlineLevel="0" collapsed="false">
      <c r="A161" s="17"/>
      <c r="B161" s="16"/>
      <c r="C161" s="16"/>
      <c r="D161" s="16"/>
      <c r="E161" s="19"/>
      <c r="F161" s="14" t="str">
        <f aca="false">IF(A161="","",MONTH(A161))</f>
        <v/>
      </c>
      <c r="G161" s="14" t="str">
        <f aca="false">IF(A161="","",YEAR(A161))</f>
        <v/>
      </c>
    </row>
    <row r="162" customFormat="false" ht="15" hidden="false" customHeight="false" outlineLevel="0" collapsed="false">
      <c r="A162" s="17"/>
      <c r="B162" s="16"/>
      <c r="C162" s="16"/>
      <c r="D162" s="16"/>
      <c r="E162" s="19"/>
      <c r="F162" s="14" t="str">
        <f aca="false">IF(A162="","",MONTH(A162))</f>
        <v/>
      </c>
      <c r="G162" s="14" t="str">
        <f aca="false">IF(A162="","",YEAR(A162))</f>
        <v/>
      </c>
    </row>
    <row r="163" customFormat="false" ht="15" hidden="false" customHeight="false" outlineLevel="0" collapsed="false">
      <c r="A163" s="17"/>
      <c r="B163" s="16"/>
      <c r="C163" s="16"/>
      <c r="D163" s="16"/>
      <c r="E163" s="19"/>
      <c r="F163" s="14" t="str">
        <f aca="false">IF(A163="","",MONTH(A163))</f>
        <v/>
      </c>
      <c r="G163" s="14" t="str">
        <f aca="false">IF(A163="","",YEAR(A163))</f>
        <v/>
      </c>
    </row>
    <row r="164" customFormat="false" ht="15" hidden="false" customHeight="false" outlineLevel="0" collapsed="false">
      <c r="A164" s="17"/>
      <c r="B164" s="16"/>
      <c r="C164" s="16"/>
      <c r="D164" s="16"/>
      <c r="E164" s="19"/>
      <c r="F164" s="14" t="str">
        <f aca="false">IF(A164="","",MONTH(A164))</f>
        <v/>
      </c>
      <c r="G164" s="14" t="str">
        <f aca="false">IF(A164="","",YEAR(A164))</f>
        <v/>
      </c>
    </row>
    <row r="165" customFormat="false" ht="15" hidden="false" customHeight="false" outlineLevel="0" collapsed="false">
      <c r="A165" s="17"/>
      <c r="B165" s="16"/>
      <c r="C165" s="16"/>
      <c r="D165" s="16"/>
      <c r="E165" s="19"/>
      <c r="F165" s="14" t="str">
        <f aca="false">IF(A165="","",MONTH(A165))</f>
        <v/>
      </c>
      <c r="G165" s="14" t="str">
        <f aca="false">IF(A165="","",YEAR(A165))</f>
        <v/>
      </c>
    </row>
    <row r="166" customFormat="false" ht="15" hidden="false" customHeight="false" outlineLevel="0" collapsed="false">
      <c r="A166" s="17"/>
      <c r="B166" s="16"/>
      <c r="C166" s="16"/>
      <c r="D166" s="16"/>
      <c r="E166" s="19"/>
      <c r="F166" s="14" t="str">
        <f aca="false">IF(A166="","",MONTH(A166))</f>
        <v/>
      </c>
      <c r="G166" s="14" t="str">
        <f aca="false">IF(A166="","",YEAR(A166))</f>
        <v/>
      </c>
    </row>
    <row r="167" customFormat="false" ht="15" hidden="false" customHeight="false" outlineLevel="0" collapsed="false">
      <c r="A167" s="17"/>
      <c r="B167" s="16"/>
      <c r="C167" s="16"/>
      <c r="D167" s="16"/>
      <c r="E167" s="19"/>
      <c r="F167" s="14" t="str">
        <f aca="false">IF(A167="","",MONTH(A167))</f>
        <v/>
      </c>
      <c r="G167" s="14" t="str">
        <f aca="false">IF(A167="","",YEAR(A167))</f>
        <v/>
      </c>
    </row>
    <row r="168" customFormat="false" ht="15" hidden="false" customHeight="false" outlineLevel="0" collapsed="false">
      <c r="A168" s="17"/>
      <c r="B168" s="16"/>
      <c r="C168" s="16"/>
      <c r="D168" s="16"/>
      <c r="E168" s="19"/>
      <c r="F168" s="14" t="str">
        <f aca="false">IF(A168="","",MONTH(A168))</f>
        <v/>
      </c>
      <c r="G168" s="14" t="str">
        <f aca="false">IF(A168="","",YEAR(A168))</f>
        <v/>
      </c>
    </row>
    <row r="169" customFormat="false" ht="15" hidden="false" customHeight="false" outlineLevel="0" collapsed="false">
      <c r="A169" s="17"/>
      <c r="B169" s="16"/>
      <c r="C169" s="16"/>
      <c r="D169" s="16"/>
      <c r="E169" s="19"/>
      <c r="F169" s="14" t="str">
        <f aca="false">IF(A169="","",MONTH(A169))</f>
        <v/>
      </c>
      <c r="G169" s="14" t="str">
        <f aca="false">IF(A169="","",YEAR(A169))</f>
        <v/>
      </c>
    </row>
    <row r="170" customFormat="false" ht="15" hidden="false" customHeight="false" outlineLevel="0" collapsed="false">
      <c r="A170" s="17"/>
      <c r="B170" s="16"/>
      <c r="C170" s="16"/>
      <c r="D170" s="16"/>
      <c r="E170" s="19"/>
      <c r="F170" s="14" t="str">
        <f aca="false">IF(A170="","",MONTH(A170))</f>
        <v/>
      </c>
      <c r="G170" s="14" t="str">
        <f aca="false">IF(A170="","",YEAR(A170))</f>
        <v/>
      </c>
    </row>
    <row r="171" customFormat="false" ht="15" hidden="false" customHeight="false" outlineLevel="0" collapsed="false">
      <c r="A171" s="17"/>
      <c r="B171" s="16"/>
      <c r="C171" s="16"/>
      <c r="D171" s="16"/>
      <c r="E171" s="19"/>
      <c r="F171" s="14" t="str">
        <f aca="false">IF(A171="","",MONTH(A171))</f>
        <v/>
      </c>
      <c r="G171" s="14" t="str">
        <f aca="false">IF(A171="","",YEAR(A171))</f>
        <v/>
      </c>
    </row>
    <row r="172" customFormat="false" ht="15" hidden="false" customHeight="false" outlineLevel="0" collapsed="false">
      <c r="A172" s="17"/>
      <c r="B172" s="16"/>
      <c r="C172" s="16"/>
      <c r="D172" s="16"/>
      <c r="E172" s="19"/>
      <c r="F172" s="14" t="str">
        <f aca="false">IF(A172="","",MONTH(A172))</f>
        <v/>
      </c>
      <c r="G172" s="14" t="str">
        <f aca="false">IF(A172="","",YEAR(A172))</f>
        <v/>
      </c>
    </row>
    <row r="173" customFormat="false" ht="15" hidden="false" customHeight="false" outlineLevel="0" collapsed="false">
      <c r="A173" s="17"/>
      <c r="B173" s="16"/>
      <c r="C173" s="16"/>
      <c r="D173" s="16"/>
      <c r="E173" s="19"/>
      <c r="F173" s="14" t="str">
        <f aca="false">IF(A173="","",MONTH(A173))</f>
        <v/>
      </c>
      <c r="G173" s="14" t="str">
        <f aca="false">IF(A173="","",YEAR(A173))</f>
        <v/>
      </c>
    </row>
    <row r="174" customFormat="false" ht="15" hidden="false" customHeight="false" outlineLevel="0" collapsed="false">
      <c r="A174" s="17"/>
      <c r="B174" s="16"/>
      <c r="C174" s="16"/>
      <c r="D174" s="16"/>
      <c r="E174" s="19"/>
      <c r="F174" s="14" t="str">
        <f aca="false">IF(A174="","",MONTH(A174))</f>
        <v/>
      </c>
      <c r="G174" s="14" t="str">
        <f aca="false">IF(A174="","",YEAR(A174))</f>
        <v/>
      </c>
    </row>
    <row r="175" customFormat="false" ht="15" hidden="false" customHeight="false" outlineLevel="0" collapsed="false">
      <c r="A175" s="17"/>
      <c r="B175" s="16"/>
      <c r="C175" s="16"/>
      <c r="D175" s="16"/>
      <c r="E175" s="19"/>
      <c r="F175" s="14" t="str">
        <f aca="false">IF(A175="","",MONTH(A175))</f>
        <v/>
      </c>
      <c r="G175" s="14" t="str">
        <f aca="false">IF(A175="","",YEAR(A175))</f>
        <v/>
      </c>
    </row>
    <row r="176" customFormat="false" ht="15" hidden="false" customHeight="false" outlineLevel="0" collapsed="false">
      <c r="A176" s="17"/>
      <c r="B176" s="16"/>
      <c r="C176" s="16"/>
      <c r="D176" s="16"/>
      <c r="E176" s="19"/>
      <c r="F176" s="14" t="str">
        <f aca="false">IF(A176="","",MONTH(A176))</f>
        <v/>
      </c>
      <c r="G176" s="14" t="str">
        <f aca="false">IF(A176="","",YEAR(A176))</f>
        <v/>
      </c>
    </row>
    <row r="177" customFormat="false" ht="15" hidden="false" customHeight="false" outlineLevel="0" collapsed="false">
      <c r="A177" s="17"/>
      <c r="B177" s="16"/>
      <c r="C177" s="16"/>
      <c r="D177" s="16"/>
      <c r="E177" s="19"/>
      <c r="F177" s="14" t="str">
        <f aca="false">IF(A177="","",MONTH(A177))</f>
        <v/>
      </c>
      <c r="G177" s="14" t="str">
        <f aca="false">IF(A177="","",YEAR(A177))</f>
        <v/>
      </c>
    </row>
    <row r="178" customFormat="false" ht="15" hidden="false" customHeight="false" outlineLevel="0" collapsed="false">
      <c r="A178" s="17"/>
      <c r="B178" s="16"/>
      <c r="C178" s="16"/>
      <c r="D178" s="16"/>
      <c r="E178" s="19"/>
      <c r="F178" s="14" t="str">
        <f aca="false">IF(A178="","",MONTH(A178))</f>
        <v/>
      </c>
      <c r="G178" s="14" t="str">
        <f aca="false">IF(A178="","",YEAR(A178))</f>
        <v/>
      </c>
    </row>
    <row r="179" customFormat="false" ht="15" hidden="false" customHeight="false" outlineLevel="0" collapsed="false">
      <c r="A179" s="17"/>
      <c r="B179" s="16"/>
      <c r="C179" s="16"/>
      <c r="D179" s="16"/>
      <c r="E179" s="19"/>
      <c r="F179" s="14" t="str">
        <f aca="false">IF(A179="","",MONTH(A179))</f>
        <v/>
      </c>
      <c r="G179" s="14" t="str">
        <f aca="false">IF(A179="","",YEAR(A179))</f>
        <v/>
      </c>
    </row>
    <row r="180" customFormat="false" ht="15" hidden="false" customHeight="false" outlineLevel="0" collapsed="false">
      <c r="A180" s="17"/>
      <c r="B180" s="16"/>
      <c r="C180" s="16"/>
      <c r="D180" s="16"/>
      <c r="E180" s="19"/>
      <c r="F180" s="14" t="str">
        <f aca="false">IF(A180="","",MONTH(A180))</f>
        <v/>
      </c>
      <c r="G180" s="14" t="str">
        <f aca="false">IF(A180="","",YEAR(A180))</f>
        <v/>
      </c>
    </row>
    <row r="181" customFormat="false" ht="15" hidden="false" customHeight="false" outlineLevel="0" collapsed="false">
      <c r="A181" s="17"/>
      <c r="B181" s="16"/>
      <c r="C181" s="16"/>
      <c r="D181" s="16"/>
      <c r="E181" s="19"/>
      <c r="F181" s="14" t="str">
        <f aca="false">IF(A181="","",MONTH(A181))</f>
        <v/>
      </c>
      <c r="G181" s="14" t="str">
        <f aca="false">IF(A181="","",YEAR(A181))</f>
        <v/>
      </c>
    </row>
    <row r="182" customFormat="false" ht="15" hidden="false" customHeight="false" outlineLevel="0" collapsed="false">
      <c r="A182" s="17"/>
      <c r="B182" s="16"/>
      <c r="C182" s="16"/>
      <c r="D182" s="16"/>
      <c r="E182" s="19"/>
      <c r="F182" s="14" t="str">
        <f aca="false">IF(A182="","",MONTH(A182))</f>
        <v/>
      </c>
      <c r="G182" s="14" t="str">
        <f aca="false">IF(A182="","",YEAR(A182))</f>
        <v/>
      </c>
    </row>
    <row r="183" customFormat="false" ht="15" hidden="false" customHeight="false" outlineLevel="0" collapsed="false">
      <c r="A183" s="17"/>
      <c r="B183" s="16"/>
      <c r="C183" s="16"/>
      <c r="D183" s="16"/>
      <c r="E183" s="19"/>
      <c r="F183" s="14" t="str">
        <f aca="false">IF(A183="","",MONTH(A183))</f>
        <v/>
      </c>
      <c r="G183" s="14" t="str">
        <f aca="false">IF(A183="","",YEAR(A183))</f>
        <v/>
      </c>
    </row>
    <row r="184" customFormat="false" ht="15" hidden="false" customHeight="false" outlineLevel="0" collapsed="false">
      <c r="A184" s="17"/>
      <c r="B184" s="16"/>
      <c r="C184" s="16"/>
      <c r="D184" s="16"/>
      <c r="E184" s="19"/>
      <c r="F184" s="14" t="str">
        <f aca="false">IF(A184="","",MONTH(A184))</f>
        <v/>
      </c>
      <c r="G184" s="14" t="str">
        <f aca="false">IF(A184="","",YEAR(A184))</f>
        <v/>
      </c>
    </row>
    <row r="185" customFormat="false" ht="15" hidden="false" customHeight="false" outlineLevel="0" collapsed="false">
      <c r="A185" s="17"/>
      <c r="B185" s="16"/>
      <c r="C185" s="16"/>
      <c r="D185" s="16"/>
      <c r="E185" s="19"/>
      <c r="F185" s="14" t="str">
        <f aca="false">IF(A185="","",MONTH(A185))</f>
        <v/>
      </c>
      <c r="G185" s="14" t="str">
        <f aca="false">IF(A185="","",YEAR(A185))</f>
        <v/>
      </c>
    </row>
    <row r="186" customFormat="false" ht="15" hidden="false" customHeight="false" outlineLevel="0" collapsed="false">
      <c r="A186" s="17"/>
      <c r="B186" s="16"/>
      <c r="C186" s="16"/>
      <c r="D186" s="16"/>
      <c r="E186" s="19"/>
      <c r="F186" s="14" t="str">
        <f aca="false">IF(A186="","",MONTH(A186))</f>
        <v/>
      </c>
      <c r="G186" s="14" t="str">
        <f aca="false">IF(A186="","",YEAR(A186))</f>
        <v/>
      </c>
    </row>
    <row r="187" customFormat="false" ht="15" hidden="false" customHeight="false" outlineLevel="0" collapsed="false">
      <c r="A187" s="17"/>
      <c r="B187" s="16"/>
      <c r="C187" s="16"/>
      <c r="D187" s="16"/>
      <c r="E187" s="19"/>
      <c r="F187" s="14" t="str">
        <f aca="false">IF(A187="","",MONTH(A187))</f>
        <v/>
      </c>
      <c r="G187" s="14" t="str">
        <f aca="false">IF(A187="","",YEAR(A187))</f>
        <v/>
      </c>
    </row>
    <row r="188" customFormat="false" ht="15" hidden="false" customHeight="false" outlineLevel="0" collapsed="false">
      <c r="A188" s="17"/>
      <c r="B188" s="16"/>
      <c r="C188" s="16"/>
      <c r="D188" s="16"/>
      <c r="E188" s="19"/>
      <c r="F188" s="14" t="str">
        <f aca="false">IF(A188="","",MONTH(A188))</f>
        <v/>
      </c>
      <c r="G188" s="14" t="str">
        <f aca="false">IF(A188="","",YEAR(A188))</f>
        <v/>
      </c>
    </row>
    <row r="189" customFormat="false" ht="15" hidden="false" customHeight="false" outlineLevel="0" collapsed="false">
      <c r="A189" s="17"/>
      <c r="B189" s="16"/>
      <c r="C189" s="16"/>
      <c r="D189" s="16"/>
      <c r="E189" s="19"/>
      <c r="F189" s="14" t="str">
        <f aca="false">IF(A189="","",MONTH(A189))</f>
        <v/>
      </c>
      <c r="G189" s="14" t="str">
        <f aca="false">IF(A189="","",YEAR(A189))</f>
        <v/>
      </c>
    </row>
    <row r="190" customFormat="false" ht="15" hidden="false" customHeight="false" outlineLevel="0" collapsed="false">
      <c r="A190" s="17"/>
      <c r="B190" s="16"/>
      <c r="C190" s="16"/>
      <c r="D190" s="16"/>
      <c r="E190" s="19"/>
      <c r="F190" s="14" t="str">
        <f aca="false">IF(A190="","",MONTH(A190))</f>
        <v/>
      </c>
      <c r="G190" s="14" t="str">
        <f aca="false">IF(A190="","",YEAR(A190))</f>
        <v/>
      </c>
    </row>
    <row r="191" customFormat="false" ht="15" hidden="false" customHeight="false" outlineLevel="0" collapsed="false">
      <c r="A191" s="17"/>
      <c r="B191" s="16"/>
      <c r="C191" s="16"/>
      <c r="D191" s="16"/>
      <c r="E191" s="19"/>
      <c r="F191" s="14" t="str">
        <f aca="false">IF(A191="","",MONTH(A191))</f>
        <v/>
      </c>
      <c r="G191" s="14" t="str">
        <f aca="false">IF(A191="","",YEAR(A191))</f>
        <v/>
      </c>
    </row>
    <row r="192" customFormat="false" ht="15" hidden="false" customHeight="false" outlineLevel="0" collapsed="false">
      <c r="A192" s="17"/>
      <c r="B192" s="16"/>
      <c r="C192" s="16"/>
      <c r="D192" s="16"/>
      <c r="E192" s="19"/>
      <c r="F192" s="14" t="str">
        <f aca="false">IF(A192="","",MONTH(A192))</f>
        <v/>
      </c>
      <c r="G192" s="14" t="str">
        <f aca="false">IF(A192="","",YEAR(A192))</f>
        <v/>
      </c>
    </row>
    <row r="193" customFormat="false" ht="15" hidden="false" customHeight="false" outlineLevel="0" collapsed="false">
      <c r="A193" s="17"/>
      <c r="B193" s="16"/>
      <c r="C193" s="16"/>
      <c r="D193" s="16"/>
      <c r="E193" s="19"/>
      <c r="F193" s="14" t="str">
        <f aca="false">IF(A193="","",MONTH(A193))</f>
        <v/>
      </c>
      <c r="G193" s="14" t="str">
        <f aca="false">IF(A193="","",YEAR(A193))</f>
        <v/>
      </c>
    </row>
    <row r="194" customFormat="false" ht="15" hidden="false" customHeight="false" outlineLevel="0" collapsed="false">
      <c r="A194" s="17"/>
      <c r="B194" s="16"/>
      <c r="C194" s="16"/>
      <c r="D194" s="16"/>
      <c r="E194" s="19"/>
      <c r="F194" s="14" t="str">
        <f aca="false">IF(A194="","",MONTH(A194))</f>
        <v/>
      </c>
      <c r="G194" s="14" t="str">
        <f aca="false">IF(A194="","",YEAR(A194))</f>
        <v/>
      </c>
    </row>
    <row r="195" customFormat="false" ht="15" hidden="false" customHeight="false" outlineLevel="0" collapsed="false">
      <c r="A195" s="17"/>
      <c r="B195" s="16"/>
      <c r="C195" s="16"/>
      <c r="D195" s="16"/>
      <c r="E195" s="19"/>
      <c r="F195" s="14" t="str">
        <f aca="false">IF(A195="","",MONTH(A195))</f>
        <v/>
      </c>
      <c r="G195" s="14" t="str">
        <f aca="false">IF(A195="","",YEAR(A195))</f>
        <v/>
      </c>
    </row>
    <row r="196" customFormat="false" ht="15" hidden="false" customHeight="false" outlineLevel="0" collapsed="false">
      <c r="A196" s="17"/>
      <c r="B196" s="16"/>
      <c r="C196" s="16"/>
      <c r="D196" s="16"/>
      <c r="E196" s="19"/>
      <c r="F196" s="14" t="str">
        <f aca="false">IF(A196="","",MONTH(A196))</f>
        <v/>
      </c>
      <c r="G196" s="14" t="str">
        <f aca="false">IF(A196="","",YEAR(A196))</f>
        <v/>
      </c>
    </row>
    <row r="197" customFormat="false" ht="15" hidden="false" customHeight="false" outlineLevel="0" collapsed="false">
      <c r="A197" s="17"/>
      <c r="B197" s="16"/>
      <c r="C197" s="16"/>
      <c r="D197" s="16"/>
      <c r="E197" s="19"/>
      <c r="F197" s="14" t="str">
        <f aca="false">IF(A197="","",MONTH(A197))</f>
        <v/>
      </c>
      <c r="G197" s="14" t="str">
        <f aca="false">IF(A197="","",YEAR(A197))</f>
        <v/>
      </c>
    </row>
    <row r="198" customFormat="false" ht="15" hidden="false" customHeight="false" outlineLevel="0" collapsed="false">
      <c r="A198" s="17"/>
      <c r="B198" s="16"/>
      <c r="C198" s="16"/>
      <c r="D198" s="16"/>
      <c r="E198" s="19"/>
      <c r="F198" s="14" t="str">
        <f aca="false">IF(A198="","",MONTH(A198))</f>
        <v/>
      </c>
      <c r="G198" s="14" t="str">
        <f aca="false">IF(A198="","",YEAR(A198))</f>
        <v/>
      </c>
    </row>
    <row r="199" customFormat="false" ht="15" hidden="false" customHeight="false" outlineLevel="0" collapsed="false">
      <c r="A199" s="17"/>
      <c r="B199" s="16"/>
      <c r="C199" s="16"/>
      <c r="D199" s="16"/>
      <c r="E199" s="19"/>
      <c r="F199" s="14" t="str">
        <f aca="false">IF(A199="","",MONTH(A199))</f>
        <v/>
      </c>
      <c r="G199" s="14" t="str">
        <f aca="false">IF(A199="","",YEAR(A199))</f>
        <v/>
      </c>
    </row>
    <row r="200" customFormat="false" ht="15" hidden="false" customHeight="false" outlineLevel="0" collapsed="false">
      <c r="A200" s="17"/>
      <c r="B200" s="16"/>
      <c r="C200" s="16"/>
      <c r="D200" s="16"/>
      <c r="E200" s="19"/>
      <c r="F200" s="14" t="str">
        <f aca="false">IF(A200="","",MONTH(A200))</f>
        <v/>
      </c>
      <c r="G200" s="14" t="str">
        <f aca="false">IF(A200="","",YEAR(A200))</f>
        <v/>
      </c>
    </row>
    <row r="201" customFormat="false" ht="15" hidden="false" customHeight="false" outlineLevel="0" collapsed="false">
      <c r="A201" s="17"/>
      <c r="B201" s="16"/>
      <c r="C201" s="16"/>
      <c r="D201" s="16"/>
      <c r="E201" s="19"/>
      <c r="F201" s="14" t="str">
        <f aca="false">IF(A201="","",MONTH(A201))</f>
        <v/>
      </c>
      <c r="G201" s="14" t="str">
        <f aca="false">IF(A201="","",YEAR(A201))</f>
        <v/>
      </c>
    </row>
    <row r="202" customFormat="false" ht="15" hidden="false" customHeight="false" outlineLevel="0" collapsed="false">
      <c r="A202" s="17"/>
      <c r="B202" s="16"/>
      <c r="C202" s="16"/>
      <c r="D202" s="16"/>
      <c r="E202" s="19"/>
      <c r="F202" s="14" t="str">
        <f aca="false">IF(A202="","",MONTH(A202))</f>
        <v/>
      </c>
      <c r="G202" s="14" t="str">
        <f aca="false">IF(A202="","",YEAR(A202))</f>
        <v/>
      </c>
    </row>
    <row r="203" customFormat="false" ht="15" hidden="false" customHeight="false" outlineLevel="0" collapsed="false">
      <c r="A203" s="17"/>
      <c r="B203" s="16"/>
      <c r="C203" s="16"/>
      <c r="D203" s="16"/>
      <c r="E203" s="19"/>
      <c r="F203" s="14" t="str">
        <f aca="false">IF(A203="","",MONTH(A203))</f>
        <v/>
      </c>
      <c r="G203" s="14" t="str">
        <f aca="false">IF(A203="","",YEAR(A203))</f>
        <v/>
      </c>
    </row>
    <row r="204" customFormat="false" ht="15" hidden="false" customHeight="false" outlineLevel="0" collapsed="false">
      <c r="A204" s="17"/>
      <c r="B204" s="16"/>
      <c r="C204" s="16"/>
      <c r="D204" s="16"/>
      <c r="E204" s="19"/>
      <c r="F204" s="14" t="str">
        <f aca="false">IF(A204="","",MONTH(A204))</f>
        <v/>
      </c>
      <c r="G204" s="14" t="str">
        <f aca="false">IF(A204="","",YEAR(A204))</f>
        <v/>
      </c>
    </row>
    <row r="205" customFormat="false" ht="15" hidden="false" customHeight="false" outlineLevel="0" collapsed="false">
      <c r="A205" s="17"/>
      <c r="B205" s="16"/>
      <c r="C205" s="16"/>
      <c r="D205" s="16"/>
      <c r="E205" s="19"/>
      <c r="F205" s="14" t="str">
        <f aca="false">IF(A205="","",MONTH(A205))</f>
        <v/>
      </c>
      <c r="G205" s="14" t="str">
        <f aca="false">IF(A205="","",YEAR(A205))</f>
        <v/>
      </c>
    </row>
    <row r="206" customFormat="false" ht="15" hidden="false" customHeight="false" outlineLevel="0" collapsed="false">
      <c r="A206" s="17"/>
      <c r="B206" s="16"/>
      <c r="C206" s="16"/>
      <c r="D206" s="16"/>
      <c r="E206" s="19"/>
      <c r="F206" s="14" t="str">
        <f aca="false">IF(A206="","",MONTH(A206))</f>
        <v/>
      </c>
      <c r="G206" s="14" t="str">
        <f aca="false">IF(A206="","",YEAR(A206))</f>
        <v/>
      </c>
    </row>
    <row r="207" customFormat="false" ht="15" hidden="false" customHeight="false" outlineLevel="0" collapsed="false">
      <c r="A207" s="17"/>
      <c r="B207" s="16"/>
      <c r="C207" s="16"/>
      <c r="D207" s="16"/>
      <c r="E207" s="19"/>
      <c r="F207" s="14" t="str">
        <f aca="false">IF(A207="","",MONTH(A207))</f>
        <v/>
      </c>
      <c r="G207" s="14" t="str">
        <f aca="false">IF(A207="","",YEAR(A207))</f>
        <v/>
      </c>
    </row>
    <row r="208" customFormat="false" ht="15" hidden="false" customHeight="false" outlineLevel="0" collapsed="false">
      <c r="A208" s="17"/>
      <c r="B208" s="16"/>
      <c r="C208" s="16"/>
      <c r="D208" s="16"/>
      <c r="E208" s="19"/>
      <c r="F208" s="14" t="str">
        <f aca="false">IF(A208="","",MONTH(A208))</f>
        <v/>
      </c>
      <c r="G208" s="14" t="str">
        <f aca="false">IF(A208="","",YEAR(A208))</f>
        <v/>
      </c>
    </row>
    <row r="209" customFormat="false" ht="15" hidden="false" customHeight="false" outlineLevel="0" collapsed="false">
      <c r="A209" s="17"/>
      <c r="B209" s="16"/>
      <c r="C209" s="16"/>
      <c r="D209" s="16"/>
      <c r="E209" s="19"/>
      <c r="F209" s="14" t="str">
        <f aca="false">IF(A209="","",MONTH(A209))</f>
        <v/>
      </c>
      <c r="G209" s="14" t="str">
        <f aca="false">IF(A209="","",YEAR(A209))</f>
        <v/>
      </c>
    </row>
    <row r="210" customFormat="false" ht="15" hidden="false" customHeight="false" outlineLevel="0" collapsed="false">
      <c r="A210" s="17"/>
      <c r="B210" s="16"/>
      <c r="C210" s="16"/>
      <c r="D210" s="16"/>
      <c r="E210" s="19"/>
      <c r="F210" s="14" t="str">
        <f aca="false">IF(A210="","",MONTH(A210))</f>
        <v/>
      </c>
      <c r="G210" s="14" t="str">
        <f aca="false">IF(A210="","",YEAR(A210))</f>
        <v/>
      </c>
    </row>
    <row r="211" customFormat="false" ht="15" hidden="false" customHeight="false" outlineLevel="0" collapsed="false">
      <c r="A211" s="17"/>
      <c r="B211" s="16"/>
      <c r="C211" s="16"/>
      <c r="D211" s="16"/>
      <c r="E211" s="19"/>
      <c r="F211" s="14" t="str">
        <f aca="false">IF(A211="","",MONTH(A211))</f>
        <v/>
      </c>
      <c r="G211" s="14" t="str">
        <f aca="false">IF(A211="","",YEAR(A211))</f>
        <v/>
      </c>
    </row>
    <row r="212" customFormat="false" ht="15" hidden="false" customHeight="false" outlineLevel="0" collapsed="false">
      <c r="A212" s="17"/>
      <c r="B212" s="16"/>
      <c r="C212" s="16"/>
      <c r="D212" s="16"/>
      <c r="E212" s="19"/>
      <c r="F212" s="14" t="str">
        <f aca="false">IF(A212="","",MONTH(A212))</f>
        <v/>
      </c>
      <c r="G212" s="14" t="str">
        <f aca="false">IF(A212="","",YEAR(A212))</f>
        <v/>
      </c>
    </row>
    <row r="213" customFormat="false" ht="15" hidden="false" customHeight="false" outlineLevel="0" collapsed="false">
      <c r="A213" s="17"/>
      <c r="B213" s="16"/>
      <c r="C213" s="16"/>
      <c r="D213" s="16"/>
      <c r="E213" s="19"/>
      <c r="F213" s="14" t="str">
        <f aca="false">IF(A213="","",MONTH(A213))</f>
        <v/>
      </c>
      <c r="G213" s="14" t="str">
        <f aca="false">IF(A213="","",YEAR(A213))</f>
        <v/>
      </c>
    </row>
    <row r="214" customFormat="false" ht="15" hidden="false" customHeight="false" outlineLevel="0" collapsed="false">
      <c r="A214" s="17"/>
      <c r="B214" s="16"/>
      <c r="C214" s="16"/>
      <c r="D214" s="16"/>
      <c r="E214" s="19"/>
      <c r="F214" s="14" t="str">
        <f aca="false">IF(A214="","",MONTH(A214))</f>
        <v/>
      </c>
      <c r="G214" s="14" t="str">
        <f aca="false">IF(A214="","",YEAR(A214))</f>
        <v/>
      </c>
    </row>
    <row r="215" customFormat="false" ht="15" hidden="false" customHeight="false" outlineLevel="0" collapsed="false">
      <c r="A215" s="17"/>
      <c r="B215" s="16"/>
      <c r="C215" s="16"/>
      <c r="D215" s="16"/>
      <c r="E215" s="19"/>
      <c r="F215" s="14" t="str">
        <f aca="false">IF(A215="","",MONTH(A215))</f>
        <v/>
      </c>
      <c r="G215" s="14" t="str">
        <f aca="false">IF(A215="","",YEAR(A215))</f>
        <v/>
      </c>
    </row>
    <row r="216" customFormat="false" ht="15" hidden="false" customHeight="false" outlineLevel="0" collapsed="false">
      <c r="A216" s="17"/>
      <c r="B216" s="16"/>
      <c r="C216" s="16"/>
      <c r="D216" s="16"/>
      <c r="E216" s="19"/>
      <c r="F216" s="14" t="str">
        <f aca="false">IF(A216="","",MONTH(A216))</f>
        <v/>
      </c>
      <c r="G216" s="14" t="str">
        <f aca="false">IF(A216="","",YEAR(A216))</f>
        <v/>
      </c>
    </row>
    <row r="217" customFormat="false" ht="15" hidden="false" customHeight="false" outlineLevel="0" collapsed="false">
      <c r="A217" s="17"/>
      <c r="B217" s="16"/>
      <c r="C217" s="16"/>
      <c r="D217" s="16"/>
      <c r="E217" s="19"/>
      <c r="F217" s="14" t="str">
        <f aca="false">IF(A217="","",MONTH(A217))</f>
        <v/>
      </c>
      <c r="G217" s="14" t="str">
        <f aca="false">IF(A217="","",YEAR(A217))</f>
        <v/>
      </c>
    </row>
    <row r="218" customFormat="false" ht="15" hidden="false" customHeight="false" outlineLevel="0" collapsed="false">
      <c r="A218" s="17"/>
      <c r="B218" s="16"/>
      <c r="C218" s="16"/>
      <c r="D218" s="16"/>
      <c r="E218" s="19"/>
      <c r="F218" s="14" t="str">
        <f aca="false">IF(A218="","",MONTH(A218))</f>
        <v/>
      </c>
      <c r="G218" s="14" t="str">
        <f aca="false">IF(A218="","",YEAR(A218))</f>
        <v/>
      </c>
    </row>
    <row r="219" customFormat="false" ht="15" hidden="false" customHeight="false" outlineLevel="0" collapsed="false">
      <c r="A219" s="17"/>
      <c r="B219" s="16"/>
      <c r="C219" s="16"/>
      <c r="D219" s="16"/>
      <c r="E219" s="19"/>
      <c r="F219" s="14" t="str">
        <f aca="false">IF(A219="","",MONTH(A219))</f>
        <v/>
      </c>
      <c r="G219" s="14" t="str">
        <f aca="false">IF(A219="","",YEAR(A219))</f>
        <v/>
      </c>
    </row>
    <row r="220" customFormat="false" ht="15" hidden="false" customHeight="false" outlineLevel="0" collapsed="false">
      <c r="A220" s="17"/>
      <c r="B220" s="16"/>
      <c r="C220" s="16"/>
      <c r="D220" s="16"/>
      <c r="E220" s="19"/>
      <c r="F220" s="14" t="str">
        <f aca="false">IF(A220="","",MONTH(A220))</f>
        <v/>
      </c>
      <c r="G220" s="14" t="str">
        <f aca="false">IF(A220="","",YEAR(A220))</f>
        <v/>
      </c>
    </row>
    <row r="221" customFormat="false" ht="15" hidden="false" customHeight="false" outlineLevel="0" collapsed="false">
      <c r="A221" s="17"/>
      <c r="B221" s="16"/>
      <c r="C221" s="16"/>
      <c r="D221" s="16"/>
      <c r="E221" s="19"/>
      <c r="F221" s="14" t="str">
        <f aca="false">IF(A221="","",MONTH(A221))</f>
        <v/>
      </c>
      <c r="G221" s="14" t="str">
        <f aca="false">IF(A221="","",YEAR(A221))</f>
        <v/>
      </c>
    </row>
    <row r="222" customFormat="false" ht="15" hidden="false" customHeight="false" outlineLevel="0" collapsed="false">
      <c r="A222" s="17"/>
      <c r="B222" s="16"/>
      <c r="C222" s="16"/>
      <c r="D222" s="16"/>
      <c r="E222" s="19"/>
      <c r="F222" s="14" t="str">
        <f aca="false">IF(A222="","",MONTH(A222))</f>
        <v/>
      </c>
      <c r="G222" s="14" t="str">
        <f aca="false">IF(A222="","",YEAR(A222))</f>
        <v/>
      </c>
    </row>
    <row r="223" customFormat="false" ht="15" hidden="false" customHeight="false" outlineLevel="0" collapsed="false">
      <c r="A223" s="17"/>
      <c r="B223" s="16"/>
      <c r="C223" s="16"/>
      <c r="D223" s="16"/>
      <c r="E223" s="19"/>
      <c r="F223" s="14" t="str">
        <f aca="false">IF(A223="","",MONTH(A223))</f>
        <v/>
      </c>
      <c r="G223" s="14" t="str">
        <f aca="false">IF(A223="","",YEAR(A223))</f>
        <v/>
      </c>
    </row>
    <row r="224" customFormat="false" ht="15" hidden="false" customHeight="false" outlineLevel="0" collapsed="false">
      <c r="A224" s="17"/>
      <c r="B224" s="16"/>
      <c r="C224" s="16"/>
      <c r="D224" s="16"/>
      <c r="E224" s="19"/>
      <c r="F224" s="14" t="str">
        <f aca="false">IF(A224="","",MONTH(A224))</f>
        <v/>
      </c>
      <c r="G224" s="14" t="str">
        <f aca="false">IF(A224="","",YEAR(A224))</f>
        <v/>
      </c>
    </row>
    <row r="225" customFormat="false" ht="15" hidden="false" customHeight="false" outlineLevel="0" collapsed="false">
      <c r="A225" s="17"/>
      <c r="B225" s="16"/>
      <c r="C225" s="16"/>
      <c r="D225" s="16"/>
      <c r="E225" s="19"/>
      <c r="F225" s="14" t="str">
        <f aca="false">IF(A225="","",MONTH(A225))</f>
        <v/>
      </c>
      <c r="G225" s="14" t="str">
        <f aca="false">IF(A225="","",YEAR(A225))</f>
        <v/>
      </c>
    </row>
    <row r="226" customFormat="false" ht="15" hidden="false" customHeight="false" outlineLevel="0" collapsed="false">
      <c r="A226" s="17"/>
      <c r="B226" s="16"/>
      <c r="C226" s="16"/>
      <c r="D226" s="16"/>
      <c r="E226" s="19"/>
      <c r="F226" s="14" t="str">
        <f aca="false">IF(A226="","",MONTH(A226))</f>
        <v/>
      </c>
      <c r="G226" s="14" t="str">
        <f aca="false">IF(A226="","",YEAR(A226))</f>
        <v/>
      </c>
    </row>
    <row r="227" customFormat="false" ht="15" hidden="false" customHeight="false" outlineLevel="0" collapsed="false">
      <c r="A227" s="17"/>
      <c r="B227" s="16"/>
      <c r="C227" s="16"/>
      <c r="D227" s="16"/>
      <c r="E227" s="19"/>
      <c r="F227" s="14" t="str">
        <f aca="false">IF(A227="","",MONTH(A227))</f>
        <v/>
      </c>
      <c r="G227" s="14" t="str">
        <f aca="false">IF(A227="","",YEAR(A227))</f>
        <v/>
      </c>
    </row>
    <row r="228" customFormat="false" ht="15" hidden="false" customHeight="false" outlineLevel="0" collapsed="false">
      <c r="A228" s="17"/>
      <c r="B228" s="16"/>
      <c r="C228" s="16"/>
      <c r="D228" s="16"/>
      <c r="E228" s="19"/>
      <c r="F228" s="14" t="str">
        <f aca="false">IF(A228="","",MONTH(A228))</f>
        <v/>
      </c>
      <c r="G228" s="14" t="str">
        <f aca="false">IF(A228="","",YEAR(A228))</f>
        <v/>
      </c>
    </row>
    <row r="229" customFormat="false" ht="15" hidden="false" customHeight="false" outlineLevel="0" collapsed="false">
      <c r="A229" s="17"/>
      <c r="B229" s="16"/>
      <c r="C229" s="16"/>
      <c r="D229" s="16"/>
      <c r="E229" s="19"/>
      <c r="F229" s="14" t="str">
        <f aca="false">IF(A229="","",MONTH(A229))</f>
        <v/>
      </c>
      <c r="G229" s="14" t="str">
        <f aca="false">IF(A229="","",YEAR(A229))</f>
        <v/>
      </c>
    </row>
    <row r="230" customFormat="false" ht="15" hidden="false" customHeight="false" outlineLevel="0" collapsed="false">
      <c r="A230" s="17"/>
      <c r="B230" s="16"/>
      <c r="C230" s="16"/>
      <c r="D230" s="16"/>
      <c r="E230" s="19"/>
      <c r="F230" s="14" t="str">
        <f aca="false">IF(A230="","",MONTH(A230))</f>
        <v/>
      </c>
      <c r="G230" s="14" t="str">
        <f aca="false">IF(A230="","",YEAR(A230))</f>
        <v/>
      </c>
    </row>
    <row r="231" customFormat="false" ht="15" hidden="false" customHeight="false" outlineLevel="0" collapsed="false">
      <c r="A231" s="17"/>
      <c r="B231" s="16"/>
      <c r="C231" s="16"/>
      <c r="D231" s="16"/>
      <c r="E231" s="19"/>
      <c r="F231" s="14" t="str">
        <f aca="false">IF(A231="","",MONTH(A231))</f>
        <v/>
      </c>
      <c r="G231" s="14" t="str">
        <f aca="false">IF(A231="","",YEAR(A231))</f>
        <v/>
      </c>
    </row>
    <row r="232" customFormat="false" ht="15" hidden="false" customHeight="false" outlineLevel="0" collapsed="false">
      <c r="A232" s="17"/>
      <c r="B232" s="16"/>
      <c r="C232" s="16"/>
      <c r="D232" s="16"/>
      <c r="E232" s="19"/>
      <c r="F232" s="14" t="str">
        <f aca="false">IF(A232="","",MONTH(A232))</f>
        <v/>
      </c>
      <c r="G232" s="14" t="str">
        <f aca="false">IF(A232="","",YEAR(A232))</f>
        <v/>
      </c>
    </row>
    <row r="233" customFormat="false" ht="15" hidden="false" customHeight="false" outlineLevel="0" collapsed="false">
      <c r="A233" s="17"/>
      <c r="B233" s="16"/>
      <c r="C233" s="16"/>
      <c r="D233" s="16"/>
      <c r="E233" s="19"/>
      <c r="F233" s="14" t="str">
        <f aca="false">IF(A233="","",MONTH(A233))</f>
        <v/>
      </c>
      <c r="G233" s="14" t="str">
        <f aca="false">IF(A233="","",YEAR(A233))</f>
        <v/>
      </c>
    </row>
    <row r="234" customFormat="false" ht="15" hidden="false" customHeight="false" outlineLevel="0" collapsed="false">
      <c r="A234" s="17"/>
      <c r="B234" s="16"/>
      <c r="C234" s="16"/>
      <c r="D234" s="16"/>
      <c r="E234" s="19"/>
      <c r="F234" s="14" t="str">
        <f aca="false">IF(A234="","",MONTH(A234))</f>
        <v/>
      </c>
      <c r="G234" s="14" t="str">
        <f aca="false">IF(A234="","",YEAR(A234))</f>
        <v/>
      </c>
    </row>
    <row r="235" customFormat="false" ht="15" hidden="false" customHeight="false" outlineLevel="0" collapsed="false">
      <c r="A235" s="17"/>
      <c r="B235" s="16"/>
      <c r="C235" s="16"/>
      <c r="D235" s="16"/>
      <c r="E235" s="19"/>
      <c r="F235" s="14" t="str">
        <f aca="false">IF(A235="","",MONTH(A235))</f>
        <v/>
      </c>
      <c r="G235" s="14" t="str">
        <f aca="false">IF(A235="","",YEAR(A235))</f>
        <v/>
      </c>
    </row>
    <row r="236" customFormat="false" ht="15" hidden="false" customHeight="false" outlineLevel="0" collapsed="false">
      <c r="A236" s="17"/>
      <c r="B236" s="16"/>
      <c r="C236" s="16"/>
      <c r="D236" s="16"/>
      <c r="E236" s="19"/>
      <c r="F236" s="14" t="str">
        <f aca="false">IF(A236="","",MONTH(A236))</f>
        <v/>
      </c>
      <c r="G236" s="14" t="str">
        <f aca="false">IF(A236="","",YEAR(A236))</f>
        <v/>
      </c>
    </row>
    <row r="237" customFormat="false" ht="15" hidden="false" customHeight="false" outlineLevel="0" collapsed="false">
      <c r="A237" s="17"/>
      <c r="B237" s="16"/>
      <c r="C237" s="16"/>
      <c r="D237" s="16"/>
      <c r="E237" s="19"/>
      <c r="F237" s="14" t="str">
        <f aca="false">IF(A237="","",MONTH(A237))</f>
        <v/>
      </c>
      <c r="G237" s="14" t="str">
        <f aca="false">IF(A237="","",YEAR(A237))</f>
        <v/>
      </c>
    </row>
    <row r="238" customFormat="false" ht="15" hidden="false" customHeight="false" outlineLevel="0" collapsed="false">
      <c r="A238" s="17"/>
      <c r="B238" s="16"/>
      <c r="C238" s="16"/>
      <c r="D238" s="16"/>
      <c r="E238" s="19"/>
      <c r="F238" s="14" t="str">
        <f aca="false">IF(A238="","",MONTH(A238))</f>
        <v/>
      </c>
      <c r="G238" s="14" t="str">
        <f aca="false">IF(A238="","",YEAR(A238))</f>
        <v/>
      </c>
    </row>
    <row r="239" customFormat="false" ht="15" hidden="false" customHeight="false" outlineLevel="0" collapsed="false">
      <c r="A239" s="17"/>
      <c r="B239" s="16"/>
      <c r="C239" s="16"/>
      <c r="D239" s="16"/>
      <c r="E239" s="19"/>
      <c r="F239" s="14" t="str">
        <f aca="false">IF(A239="","",MONTH(A239))</f>
        <v/>
      </c>
      <c r="G239" s="14" t="str">
        <f aca="false">IF(A239="","",YEAR(A239))</f>
        <v/>
      </c>
    </row>
    <row r="240" customFormat="false" ht="15" hidden="false" customHeight="false" outlineLevel="0" collapsed="false">
      <c r="A240" s="17"/>
      <c r="B240" s="16"/>
      <c r="C240" s="16"/>
      <c r="D240" s="16"/>
      <c r="E240" s="19"/>
      <c r="F240" s="14" t="str">
        <f aca="false">IF(A240="","",MONTH(A240))</f>
        <v/>
      </c>
      <c r="G240" s="14" t="str">
        <f aca="false">IF(A240="","",YEAR(A240))</f>
        <v/>
      </c>
    </row>
    <row r="241" customFormat="false" ht="15" hidden="false" customHeight="false" outlineLevel="0" collapsed="false">
      <c r="A241" s="17"/>
      <c r="B241" s="16"/>
      <c r="C241" s="16"/>
      <c r="D241" s="16"/>
      <c r="E241" s="19"/>
      <c r="F241" s="14" t="str">
        <f aca="false">IF(A241="","",MONTH(A241))</f>
        <v/>
      </c>
      <c r="G241" s="14" t="str">
        <f aca="false">IF(A241="","",YEAR(A241))</f>
        <v/>
      </c>
    </row>
    <row r="242" customFormat="false" ht="15" hidden="false" customHeight="false" outlineLevel="0" collapsed="false">
      <c r="A242" s="17"/>
      <c r="B242" s="16"/>
      <c r="C242" s="16"/>
      <c r="D242" s="16"/>
      <c r="E242" s="19"/>
      <c r="F242" s="14" t="str">
        <f aca="false">IF(A242="","",MONTH(A242))</f>
        <v/>
      </c>
      <c r="G242" s="14" t="str">
        <f aca="false">IF(A242="","",YEAR(A242))</f>
        <v/>
      </c>
    </row>
    <row r="243" customFormat="false" ht="15" hidden="false" customHeight="false" outlineLevel="0" collapsed="false">
      <c r="A243" s="17"/>
      <c r="B243" s="16"/>
      <c r="C243" s="16"/>
      <c r="D243" s="16"/>
      <c r="E243" s="19"/>
      <c r="F243" s="14" t="str">
        <f aca="false">IF(A243="","",MONTH(A243))</f>
        <v/>
      </c>
      <c r="G243" s="14" t="str">
        <f aca="false">IF(A243="","",YEAR(A243))</f>
        <v/>
      </c>
    </row>
    <row r="244" customFormat="false" ht="15" hidden="false" customHeight="false" outlineLevel="0" collapsed="false">
      <c r="A244" s="17"/>
      <c r="B244" s="16"/>
      <c r="C244" s="16"/>
      <c r="D244" s="16"/>
      <c r="E244" s="19"/>
      <c r="F244" s="14" t="str">
        <f aca="false">IF(A244="","",MONTH(A244))</f>
        <v/>
      </c>
      <c r="G244" s="14" t="str">
        <f aca="false">IF(A244="","",YEAR(A244))</f>
        <v/>
      </c>
    </row>
    <row r="245" customFormat="false" ht="15" hidden="false" customHeight="false" outlineLevel="0" collapsed="false">
      <c r="A245" s="17"/>
      <c r="B245" s="16"/>
      <c r="C245" s="16"/>
      <c r="D245" s="16"/>
      <c r="E245" s="19"/>
      <c r="F245" s="14" t="str">
        <f aca="false">IF(A245="","",MONTH(A245))</f>
        <v/>
      </c>
      <c r="G245" s="14" t="str">
        <f aca="false">IF(A245="","",YEAR(A245))</f>
        <v/>
      </c>
    </row>
    <row r="246" customFormat="false" ht="15" hidden="false" customHeight="false" outlineLevel="0" collapsed="false">
      <c r="A246" s="17"/>
      <c r="B246" s="16"/>
      <c r="C246" s="16"/>
      <c r="D246" s="16"/>
      <c r="E246" s="19"/>
      <c r="F246" s="14" t="str">
        <f aca="false">IF(A246="","",MONTH(A246))</f>
        <v/>
      </c>
      <c r="G246" s="14" t="str">
        <f aca="false">IF(A246="","",YEAR(A246))</f>
        <v/>
      </c>
    </row>
    <row r="247" customFormat="false" ht="15" hidden="false" customHeight="false" outlineLevel="0" collapsed="false">
      <c r="A247" s="17"/>
      <c r="B247" s="16"/>
      <c r="C247" s="16"/>
      <c r="D247" s="16"/>
      <c r="E247" s="19"/>
      <c r="F247" s="14" t="str">
        <f aca="false">IF(A247="","",MONTH(A247))</f>
        <v/>
      </c>
      <c r="G247" s="14" t="str">
        <f aca="false">IF(A247="","",YEAR(A247))</f>
        <v/>
      </c>
    </row>
    <row r="248" customFormat="false" ht="15" hidden="false" customHeight="false" outlineLevel="0" collapsed="false">
      <c r="A248" s="17"/>
      <c r="B248" s="16"/>
      <c r="C248" s="16"/>
      <c r="D248" s="16"/>
      <c r="E248" s="19"/>
      <c r="F248" s="14" t="str">
        <f aca="false">IF(A248="","",MONTH(A248))</f>
        <v/>
      </c>
      <c r="G248" s="14" t="str">
        <f aca="false">IF(A248="","",YEAR(A248))</f>
        <v/>
      </c>
    </row>
    <row r="249" customFormat="false" ht="15" hidden="false" customHeight="false" outlineLevel="0" collapsed="false">
      <c r="A249" s="17"/>
      <c r="B249" s="16"/>
      <c r="C249" s="16"/>
      <c r="D249" s="16"/>
      <c r="E249" s="19"/>
      <c r="F249" s="14" t="str">
        <f aca="false">IF(A249="","",MONTH(A249))</f>
        <v/>
      </c>
      <c r="G249" s="14" t="str">
        <f aca="false">IF(A249="","",YEAR(A249))</f>
        <v/>
      </c>
    </row>
    <row r="250" customFormat="false" ht="15" hidden="false" customHeight="false" outlineLevel="0" collapsed="false">
      <c r="A250" s="17"/>
      <c r="B250" s="16"/>
      <c r="C250" s="16"/>
      <c r="D250" s="16"/>
      <c r="E250" s="19"/>
      <c r="F250" s="14" t="str">
        <f aca="false">IF(A250="","",MONTH(A250))</f>
        <v/>
      </c>
      <c r="G250" s="14" t="str">
        <f aca="false">IF(A250="","",YEAR(A250))</f>
        <v/>
      </c>
    </row>
    <row r="251" customFormat="false" ht="15" hidden="false" customHeight="false" outlineLevel="0" collapsed="false">
      <c r="A251" s="17"/>
      <c r="B251" s="16"/>
      <c r="C251" s="16"/>
      <c r="D251" s="16"/>
      <c r="E251" s="19"/>
      <c r="F251" s="14" t="str">
        <f aca="false">IF(A251="","",MONTH(A251))</f>
        <v/>
      </c>
      <c r="G251" s="14" t="str">
        <f aca="false">IF(A251="","",YEAR(A251))</f>
        <v/>
      </c>
    </row>
    <row r="252" customFormat="false" ht="15" hidden="false" customHeight="false" outlineLevel="0" collapsed="false">
      <c r="A252" s="17"/>
      <c r="B252" s="16"/>
      <c r="C252" s="16"/>
      <c r="D252" s="16"/>
      <c r="E252" s="19"/>
      <c r="F252" s="14" t="str">
        <f aca="false">IF(A252="","",MONTH(A252))</f>
        <v/>
      </c>
      <c r="G252" s="14" t="str">
        <f aca="false">IF(A252="","",YEAR(A252))</f>
        <v/>
      </c>
    </row>
    <row r="253" customFormat="false" ht="15" hidden="false" customHeight="false" outlineLevel="0" collapsed="false">
      <c r="A253" s="17"/>
      <c r="B253" s="16"/>
      <c r="C253" s="16"/>
      <c r="D253" s="16"/>
      <c r="E253" s="19"/>
      <c r="F253" s="14" t="str">
        <f aca="false">IF(A253="","",MONTH(A253))</f>
        <v/>
      </c>
      <c r="G253" s="14" t="str">
        <f aca="false">IF(A253="","",YEAR(A253))</f>
        <v/>
      </c>
    </row>
    <row r="254" customFormat="false" ht="15" hidden="false" customHeight="false" outlineLevel="0" collapsed="false">
      <c r="A254" s="17"/>
      <c r="B254" s="16"/>
      <c r="C254" s="16"/>
      <c r="D254" s="16"/>
      <c r="E254" s="19"/>
      <c r="F254" s="14" t="str">
        <f aca="false">IF(A254="","",MONTH(A254))</f>
        <v/>
      </c>
      <c r="G254" s="14" t="str">
        <f aca="false">IF(A254="","",YEAR(A254))</f>
        <v/>
      </c>
    </row>
    <row r="255" customFormat="false" ht="15" hidden="false" customHeight="false" outlineLevel="0" collapsed="false">
      <c r="A255" s="17"/>
      <c r="B255" s="16"/>
      <c r="C255" s="16"/>
      <c r="D255" s="16"/>
      <c r="E255" s="19"/>
      <c r="F255" s="14" t="str">
        <f aca="false">IF(A255="","",MONTH(A255))</f>
        <v/>
      </c>
      <c r="G255" s="14" t="str">
        <f aca="false">IF(A255="","",YEAR(A255))</f>
        <v/>
      </c>
    </row>
    <row r="256" customFormat="false" ht="15" hidden="false" customHeight="false" outlineLevel="0" collapsed="false">
      <c r="A256" s="17"/>
      <c r="B256" s="16"/>
      <c r="C256" s="16"/>
      <c r="D256" s="16"/>
      <c r="E256" s="19"/>
      <c r="F256" s="14" t="str">
        <f aca="false">IF(A256="","",MONTH(A256))</f>
        <v/>
      </c>
      <c r="G256" s="14" t="str">
        <f aca="false">IF(A256="","",YEAR(A256))</f>
        <v/>
      </c>
    </row>
    <row r="257" customFormat="false" ht="15" hidden="false" customHeight="false" outlineLevel="0" collapsed="false">
      <c r="A257" s="17"/>
      <c r="B257" s="16"/>
      <c r="C257" s="16"/>
      <c r="D257" s="16"/>
      <c r="E257" s="19"/>
      <c r="F257" s="14" t="str">
        <f aca="false">IF(A257="","",MONTH(A257))</f>
        <v/>
      </c>
      <c r="G257" s="14" t="str">
        <f aca="false">IF(A257="","",YEAR(A257))</f>
        <v/>
      </c>
    </row>
    <row r="258" customFormat="false" ht="15" hidden="false" customHeight="false" outlineLevel="0" collapsed="false">
      <c r="A258" s="17"/>
      <c r="B258" s="16"/>
      <c r="C258" s="16"/>
      <c r="D258" s="16"/>
      <c r="E258" s="19"/>
      <c r="F258" s="14" t="str">
        <f aca="false">IF(A258="","",MONTH(A258))</f>
        <v/>
      </c>
      <c r="G258" s="14" t="str">
        <f aca="false">IF(A258="","",YEAR(A258))</f>
        <v/>
      </c>
    </row>
    <row r="259" customFormat="false" ht="15" hidden="false" customHeight="false" outlineLevel="0" collapsed="false">
      <c r="A259" s="17"/>
      <c r="B259" s="16"/>
      <c r="C259" s="16"/>
      <c r="D259" s="16"/>
      <c r="E259" s="19"/>
      <c r="F259" s="14" t="str">
        <f aca="false">IF(A259="","",MONTH(A259))</f>
        <v/>
      </c>
      <c r="G259" s="14" t="str">
        <f aca="false">IF(A259="","",YEAR(A259))</f>
        <v/>
      </c>
    </row>
    <row r="260" customFormat="false" ht="15" hidden="false" customHeight="false" outlineLevel="0" collapsed="false">
      <c r="A260" s="17"/>
      <c r="B260" s="16"/>
      <c r="C260" s="16"/>
      <c r="D260" s="16"/>
      <c r="E260" s="19"/>
      <c r="F260" s="14" t="str">
        <f aca="false">IF(A260="","",MONTH(A260))</f>
        <v/>
      </c>
      <c r="G260" s="14" t="str">
        <f aca="false">IF(A260="","",YEAR(A260))</f>
        <v/>
      </c>
    </row>
    <row r="261" customFormat="false" ht="15" hidden="false" customHeight="false" outlineLevel="0" collapsed="false">
      <c r="A261" s="17"/>
      <c r="B261" s="16"/>
      <c r="C261" s="16"/>
      <c r="D261" s="16"/>
      <c r="E261" s="19"/>
      <c r="F261" s="14" t="str">
        <f aca="false">IF(A261="","",MONTH(A261))</f>
        <v/>
      </c>
      <c r="G261" s="14" t="str">
        <f aca="false">IF(A261="","",YEAR(A261))</f>
        <v/>
      </c>
    </row>
    <row r="262" customFormat="false" ht="15" hidden="false" customHeight="false" outlineLevel="0" collapsed="false">
      <c r="A262" s="17"/>
      <c r="B262" s="16"/>
      <c r="C262" s="16"/>
      <c r="D262" s="16"/>
      <c r="E262" s="19"/>
      <c r="F262" s="14" t="str">
        <f aca="false">IF(A262="","",MONTH(A262))</f>
        <v/>
      </c>
      <c r="G262" s="14" t="str">
        <f aca="false">IF(A262="","",YEAR(A262))</f>
        <v/>
      </c>
    </row>
    <row r="263" customFormat="false" ht="15" hidden="false" customHeight="false" outlineLevel="0" collapsed="false">
      <c r="A263" s="17"/>
      <c r="B263" s="16"/>
      <c r="C263" s="16"/>
      <c r="D263" s="16"/>
      <c r="E263" s="19"/>
      <c r="F263" s="14" t="str">
        <f aca="false">IF(A263="","",MONTH(A263))</f>
        <v/>
      </c>
      <c r="G263" s="14" t="str">
        <f aca="false">IF(A263="","",YEAR(A263))</f>
        <v/>
      </c>
    </row>
    <row r="264" customFormat="false" ht="15" hidden="false" customHeight="false" outlineLevel="0" collapsed="false">
      <c r="A264" s="17"/>
      <c r="B264" s="16"/>
      <c r="C264" s="16"/>
      <c r="D264" s="16"/>
      <c r="E264" s="19"/>
      <c r="F264" s="14" t="str">
        <f aca="false">IF(A264="","",MONTH(A264))</f>
        <v/>
      </c>
      <c r="G264" s="14" t="str">
        <f aca="false">IF(A264="","",YEAR(A264))</f>
        <v/>
      </c>
    </row>
    <row r="265" customFormat="false" ht="15" hidden="false" customHeight="false" outlineLevel="0" collapsed="false">
      <c r="A265" s="17"/>
      <c r="B265" s="16"/>
      <c r="C265" s="16"/>
      <c r="D265" s="16"/>
      <c r="E265" s="19"/>
      <c r="F265" s="14" t="str">
        <f aca="false">IF(A265="","",MONTH(A265))</f>
        <v/>
      </c>
      <c r="G265" s="14" t="str">
        <f aca="false">IF(A265="","",YEAR(A265))</f>
        <v/>
      </c>
    </row>
    <row r="266" customFormat="false" ht="15" hidden="false" customHeight="false" outlineLevel="0" collapsed="false">
      <c r="A266" s="17"/>
      <c r="B266" s="16"/>
      <c r="C266" s="16"/>
      <c r="D266" s="16"/>
      <c r="E266" s="19"/>
      <c r="F266" s="14" t="str">
        <f aca="false">IF(A266="","",MONTH(A266))</f>
        <v/>
      </c>
      <c r="G266" s="14" t="str">
        <f aca="false">IF(A266="","",YEAR(A266))</f>
        <v/>
      </c>
    </row>
    <row r="267" customFormat="false" ht="15" hidden="false" customHeight="false" outlineLevel="0" collapsed="false">
      <c r="A267" s="17"/>
      <c r="B267" s="16"/>
      <c r="C267" s="16"/>
      <c r="D267" s="16"/>
      <c r="E267" s="19"/>
      <c r="F267" s="14" t="str">
        <f aca="false">IF(A267="","",MONTH(A267))</f>
        <v/>
      </c>
      <c r="G267" s="14" t="str">
        <f aca="false">IF(A267="","",YEAR(A267))</f>
        <v/>
      </c>
    </row>
    <row r="268" customFormat="false" ht="15" hidden="false" customHeight="false" outlineLevel="0" collapsed="false">
      <c r="A268" s="17"/>
      <c r="B268" s="16"/>
      <c r="C268" s="16"/>
      <c r="D268" s="16"/>
      <c r="E268" s="19"/>
      <c r="F268" s="14" t="str">
        <f aca="false">IF(A268="","",MONTH(A268))</f>
        <v/>
      </c>
      <c r="G268" s="14" t="str">
        <f aca="false">IF(A268="","",YEAR(A268))</f>
        <v/>
      </c>
    </row>
    <row r="269" customFormat="false" ht="15" hidden="false" customHeight="false" outlineLevel="0" collapsed="false">
      <c r="A269" s="17"/>
      <c r="B269" s="16"/>
      <c r="C269" s="16"/>
      <c r="D269" s="16"/>
      <c r="E269" s="19"/>
      <c r="F269" s="14" t="str">
        <f aca="false">IF(A269="","",MONTH(A269))</f>
        <v/>
      </c>
      <c r="G269" s="14" t="str">
        <f aca="false">IF(A269="","",YEAR(A269))</f>
        <v/>
      </c>
    </row>
    <row r="270" customFormat="false" ht="15" hidden="false" customHeight="false" outlineLevel="0" collapsed="false">
      <c r="A270" s="17"/>
      <c r="B270" s="16"/>
      <c r="C270" s="16"/>
      <c r="D270" s="16"/>
      <c r="E270" s="19"/>
      <c r="F270" s="14" t="str">
        <f aca="false">IF(A270="","",MONTH(A270))</f>
        <v/>
      </c>
      <c r="G270" s="14" t="str">
        <f aca="false">IF(A270="","",YEAR(A270))</f>
        <v/>
      </c>
    </row>
    <row r="271" customFormat="false" ht="15" hidden="false" customHeight="false" outlineLevel="0" collapsed="false">
      <c r="A271" s="17"/>
      <c r="B271" s="16"/>
      <c r="C271" s="16"/>
      <c r="D271" s="16"/>
      <c r="E271" s="19"/>
      <c r="F271" s="14" t="str">
        <f aca="false">IF(A271="","",MONTH(A271))</f>
        <v/>
      </c>
      <c r="G271" s="14" t="str">
        <f aca="false">IF(A271="","",YEAR(A271))</f>
        <v/>
      </c>
    </row>
    <row r="272" customFormat="false" ht="15" hidden="false" customHeight="false" outlineLevel="0" collapsed="false">
      <c r="A272" s="17"/>
      <c r="B272" s="16"/>
      <c r="C272" s="16"/>
      <c r="D272" s="16"/>
      <c r="E272" s="19"/>
      <c r="F272" s="14" t="str">
        <f aca="false">IF(A272="","",MONTH(A272))</f>
        <v/>
      </c>
      <c r="G272" s="14" t="str">
        <f aca="false">IF(A272="","",YEAR(A272))</f>
        <v/>
      </c>
    </row>
    <row r="273" customFormat="false" ht="15" hidden="false" customHeight="false" outlineLevel="0" collapsed="false">
      <c r="A273" s="17"/>
      <c r="B273" s="16"/>
      <c r="C273" s="16"/>
      <c r="D273" s="16"/>
      <c r="E273" s="19"/>
      <c r="F273" s="14" t="str">
        <f aca="false">IF(A273="","",MONTH(A273))</f>
        <v/>
      </c>
      <c r="G273" s="14" t="str">
        <f aca="false">IF(A273="","",YEAR(A273))</f>
        <v/>
      </c>
    </row>
    <row r="274" customFormat="false" ht="15" hidden="false" customHeight="false" outlineLevel="0" collapsed="false">
      <c r="A274" s="17"/>
      <c r="B274" s="16"/>
      <c r="C274" s="16"/>
      <c r="D274" s="16"/>
      <c r="E274" s="19"/>
      <c r="F274" s="14" t="str">
        <f aca="false">IF(A274="","",MONTH(A274))</f>
        <v/>
      </c>
      <c r="G274" s="14" t="str">
        <f aca="false">IF(A274="","",YEAR(A274))</f>
        <v/>
      </c>
    </row>
    <row r="275" customFormat="false" ht="15" hidden="false" customHeight="false" outlineLevel="0" collapsed="false">
      <c r="A275" s="17"/>
      <c r="B275" s="16"/>
      <c r="C275" s="16"/>
      <c r="D275" s="16"/>
      <c r="E275" s="19"/>
      <c r="F275" s="14" t="str">
        <f aca="false">IF(A275="","",MONTH(A275))</f>
        <v/>
      </c>
      <c r="G275" s="14" t="str">
        <f aca="false">IF(A275="","",YEAR(A275))</f>
        <v/>
      </c>
    </row>
    <row r="276" customFormat="false" ht="15" hidden="false" customHeight="false" outlineLevel="0" collapsed="false">
      <c r="A276" s="17"/>
      <c r="B276" s="16"/>
      <c r="C276" s="16"/>
      <c r="D276" s="16"/>
      <c r="E276" s="19"/>
      <c r="F276" s="14" t="str">
        <f aca="false">IF(A276="","",MONTH(A276))</f>
        <v/>
      </c>
      <c r="G276" s="14" t="str">
        <f aca="false">IF(A276="","",YEAR(A276))</f>
        <v/>
      </c>
    </row>
    <row r="277" customFormat="false" ht="15" hidden="false" customHeight="false" outlineLevel="0" collapsed="false">
      <c r="A277" s="17"/>
      <c r="B277" s="16"/>
      <c r="C277" s="16"/>
      <c r="D277" s="16"/>
      <c r="E277" s="19"/>
      <c r="F277" s="14" t="str">
        <f aca="false">IF(A277="","",MONTH(A277))</f>
        <v/>
      </c>
      <c r="G277" s="14" t="str">
        <f aca="false">IF(A277="","",YEAR(A277))</f>
        <v/>
      </c>
    </row>
    <row r="278" customFormat="false" ht="15" hidden="false" customHeight="false" outlineLevel="0" collapsed="false">
      <c r="A278" s="17"/>
      <c r="B278" s="16"/>
      <c r="C278" s="16"/>
      <c r="D278" s="16"/>
      <c r="E278" s="19"/>
      <c r="F278" s="14" t="str">
        <f aca="false">IF(A278="","",MONTH(A278))</f>
        <v/>
      </c>
      <c r="G278" s="14" t="str">
        <f aca="false">IF(A278="","",YEAR(A278))</f>
        <v/>
      </c>
    </row>
    <row r="279" customFormat="false" ht="15" hidden="false" customHeight="false" outlineLevel="0" collapsed="false">
      <c r="A279" s="17"/>
      <c r="B279" s="16"/>
      <c r="C279" s="16"/>
      <c r="D279" s="16"/>
      <c r="E279" s="19"/>
      <c r="F279" s="14" t="str">
        <f aca="false">IF(A279="","",MONTH(A279))</f>
        <v/>
      </c>
      <c r="G279" s="14" t="str">
        <f aca="false">IF(A279="","",YEAR(A279))</f>
        <v/>
      </c>
    </row>
    <row r="280" customFormat="false" ht="15" hidden="false" customHeight="false" outlineLevel="0" collapsed="false">
      <c r="A280" s="17"/>
      <c r="B280" s="16"/>
      <c r="C280" s="16"/>
      <c r="D280" s="16"/>
      <c r="E280" s="19"/>
      <c r="F280" s="14" t="str">
        <f aca="false">IF(A280="","",MONTH(A280))</f>
        <v/>
      </c>
      <c r="G280" s="14" t="str">
        <f aca="false">IF(A280="","",YEAR(A280))</f>
        <v/>
      </c>
    </row>
    <row r="281" customFormat="false" ht="15" hidden="false" customHeight="false" outlineLevel="0" collapsed="false">
      <c r="A281" s="17"/>
      <c r="B281" s="16"/>
      <c r="C281" s="16"/>
      <c r="D281" s="16"/>
      <c r="E281" s="19"/>
      <c r="F281" s="14" t="str">
        <f aca="false">IF(A281="","",MONTH(A281))</f>
        <v/>
      </c>
      <c r="G281" s="14" t="str">
        <f aca="false">IF(A281="","",YEAR(A281))</f>
        <v/>
      </c>
    </row>
    <row r="282" customFormat="false" ht="15" hidden="false" customHeight="false" outlineLevel="0" collapsed="false">
      <c r="A282" s="17"/>
      <c r="B282" s="16"/>
      <c r="C282" s="16"/>
      <c r="D282" s="16"/>
      <c r="E282" s="19"/>
      <c r="F282" s="14" t="str">
        <f aca="false">IF(A282="","",MONTH(A282))</f>
        <v/>
      </c>
      <c r="G282" s="14" t="str">
        <f aca="false">IF(A282="","",YEAR(A282))</f>
        <v/>
      </c>
    </row>
    <row r="283" customFormat="false" ht="15" hidden="false" customHeight="false" outlineLevel="0" collapsed="false">
      <c r="A283" s="17"/>
      <c r="B283" s="16"/>
      <c r="C283" s="16"/>
      <c r="D283" s="16"/>
      <c r="E283" s="19"/>
      <c r="F283" s="14" t="str">
        <f aca="false">IF(A283="","",MONTH(A283))</f>
        <v/>
      </c>
      <c r="G283" s="14" t="str">
        <f aca="false">IF(A283="","",YEAR(A283))</f>
        <v/>
      </c>
    </row>
    <row r="284" customFormat="false" ht="15" hidden="false" customHeight="false" outlineLevel="0" collapsed="false">
      <c r="A284" s="17"/>
      <c r="B284" s="16"/>
      <c r="C284" s="16"/>
      <c r="D284" s="16"/>
      <c r="E284" s="19"/>
      <c r="F284" s="14" t="str">
        <f aca="false">IF(A284="","",MONTH(A284))</f>
        <v/>
      </c>
      <c r="G284" s="14" t="str">
        <f aca="false">IF(A284="","",YEAR(A284))</f>
        <v/>
      </c>
    </row>
    <row r="285" customFormat="false" ht="15" hidden="false" customHeight="false" outlineLevel="0" collapsed="false">
      <c r="A285" s="17"/>
      <c r="B285" s="16"/>
      <c r="C285" s="16"/>
      <c r="D285" s="16"/>
      <c r="E285" s="19"/>
      <c r="F285" s="14" t="str">
        <f aca="false">IF(A285="","",MONTH(A285))</f>
        <v/>
      </c>
      <c r="G285" s="14" t="str">
        <f aca="false">IF(A285="","",YEAR(A285))</f>
        <v/>
      </c>
    </row>
    <row r="286" customFormat="false" ht="15" hidden="false" customHeight="false" outlineLevel="0" collapsed="false">
      <c r="A286" s="17"/>
      <c r="B286" s="16"/>
      <c r="C286" s="16"/>
      <c r="D286" s="16"/>
      <c r="E286" s="19"/>
      <c r="F286" s="14" t="str">
        <f aca="false">IF(A286="","",MONTH(A286))</f>
        <v/>
      </c>
      <c r="G286" s="14" t="str">
        <f aca="false">IF(A286="","",YEAR(A286))</f>
        <v/>
      </c>
    </row>
    <row r="287" customFormat="false" ht="15" hidden="false" customHeight="false" outlineLevel="0" collapsed="false">
      <c r="A287" s="17"/>
      <c r="B287" s="16"/>
      <c r="C287" s="16"/>
      <c r="D287" s="16"/>
      <c r="E287" s="19"/>
      <c r="F287" s="14" t="str">
        <f aca="false">IF(A287="","",MONTH(A287))</f>
        <v/>
      </c>
      <c r="G287" s="14" t="str">
        <f aca="false">IF(A287="","",YEAR(A287))</f>
        <v/>
      </c>
    </row>
    <row r="288" customFormat="false" ht="15" hidden="false" customHeight="false" outlineLevel="0" collapsed="false">
      <c r="A288" s="17"/>
      <c r="B288" s="16"/>
      <c r="C288" s="16"/>
      <c r="D288" s="16"/>
      <c r="E288" s="19"/>
      <c r="F288" s="14" t="str">
        <f aca="false">IF(A288="","",MONTH(A288))</f>
        <v/>
      </c>
      <c r="G288" s="14" t="str">
        <f aca="false">IF(A288="","",YEAR(A288))</f>
        <v/>
      </c>
    </row>
    <row r="289" customFormat="false" ht="15" hidden="false" customHeight="false" outlineLevel="0" collapsed="false">
      <c r="A289" s="17"/>
      <c r="B289" s="16"/>
      <c r="C289" s="16"/>
      <c r="D289" s="16"/>
      <c r="E289" s="19"/>
      <c r="F289" s="14" t="str">
        <f aca="false">IF(A289="","",MONTH(A289))</f>
        <v/>
      </c>
      <c r="G289" s="14" t="str">
        <f aca="false">IF(A289="","",YEAR(A289))</f>
        <v/>
      </c>
    </row>
    <row r="290" customFormat="false" ht="15" hidden="false" customHeight="false" outlineLevel="0" collapsed="false">
      <c r="A290" s="17"/>
      <c r="B290" s="16"/>
      <c r="C290" s="16"/>
      <c r="D290" s="16"/>
      <c r="E290" s="19"/>
      <c r="F290" s="14" t="str">
        <f aca="false">IF(A290="","",MONTH(A290))</f>
        <v/>
      </c>
      <c r="G290" s="14" t="str">
        <f aca="false">IF(A290="","",YEAR(A290))</f>
        <v/>
      </c>
    </row>
    <row r="291" customFormat="false" ht="15" hidden="false" customHeight="false" outlineLevel="0" collapsed="false">
      <c r="A291" s="17"/>
      <c r="B291" s="16"/>
      <c r="C291" s="16"/>
      <c r="D291" s="16"/>
      <c r="E291" s="19"/>
      <c r="F291" s="14" t="str">
        <f aca="false">IF(A291="","",MONTH(A291))</f>
        <v/>
      </c>
      <c r="G291" s="14" t="str">
        <f aca="false">IF(A291="","",YEAR(A291))</f>
        <v/>
      </c>
    </row>
    <row r="292" customFormat="false" ht="15" hidden="false" customHeight="false" outlineLevel="0" collapsed="false">
      <c r="A292" s="17"/>
      <c r="B292" s="16"/>
      <c r="C292" s="16"/>
      <c r="D292" s="16"/>
      <c r="E292" s="19"/>
      <c r="F292" s="14" t="str">
        <f aca="false">IF(A292="","",MONTH(A292))</f>
        <v/>
      </c>
      <c r="G292" s="14" t="str">
        <f aca="false">IF(A292="","",YEAR(A292))</f>
        <v/>
      </c>
    </row>
    <row r="293" customFormat="false" ht="15" hidden="false" customHeight="false" outlineLevel="0" collapsed="false">
      <c r="A293" s="17"/>
      <c r="B293" s="16"/>
      <c r="C293" s="16"/>
      <c r="D293" s="16"/>
      <c r="E293" s="19"/>
      <c r="F293" s="14" t="str">
        <f aca="false">IF(A293="","",MONTH(A293))</f>
        <v/>
      </c>
      <c r="G293" s="14" t="str">
        <f aca="false">IF(A293="","",YEAR(A293))</f>
        <v/>
      </c>
    </row>
    <row r="294" customFormat="false" ht="15" hidden="false" customHeight="false" outlineLevel="0" collapsed="false">
      <c r="A294" s="17"/>
      <c r="B294" s="16"/>
      <c r="C294" s="16"/>
      <c r="D294" s="16"/>
      <c r="E294" s="19"/>
      <c r="F294" s="14" t="str">
        <f aca="false">IF(A294="","",MONTH(A294))</f>
        <v/>
      </c>
      <c r="G294" s="14" t="str">
        <f aca="false">IF(A294="","",YEAR(A294))</f>
        <v/>
      </c>
    </row>
    <row r="295" customFormat="false" ht="15" hidden="false" customHeight="false" outlineLevel="0" collapsed="false">
      <c r="A295" s="17"/>
      <c r="B295" s="16"/>
      <c r="C295" s="16"/>
      <c r="D295" s="16"/>
      <c r="E295" s="19"/>
      <c r="F295" s="14" t="str">
        <f aca="false">IF(A295="","",MONTH(A295))</f>
        <v/>
      </c>
      <c r="G295" s="14" t="str">
        <f aca="false">IF(A295="","",YEAR(A295))</f>
        <v/>
      </c>
    </row>
    <row r="296" customFormat="false" ht="15" hidden="false" customHeight="false" outlineLevel="0" collapsed="false">
      <c r="A296" s="17"/>
      <c r="B296" s="16"/>
      <c r="C296" s="16"/>
      <c r="D296" s="16"/>
      <c r="E296" s="19"/>
      <c r="F296" s="14" t="str">
        <f aca="false">IF(A296="","",MONTH(A296))</f>
        <v/>
      </c>
      <c r="G296" s="14" t="str">
        <f aca="false">IF(A296="","",YEAR(A296))</f>
        <v/>
      </c>
    </row>
    <row r="297" customFormat="false" ht="15" hidden="false" customHeight="false" outlineLevel="0" collapsed="false">
      <c r="A297" s="17"/>
      <c r="B297" s="16"/>
      <c r="C297" s="16"/>
      <c r="D297" s="16"/>
      <c r="E297" s="19"/>
      <c r="F297" s="14" t="str">
        <f aca="false">IF(A297="","",MONTH(A297))</f>
        <v/>
      </c>
      <c r="G297" s="14" t="str">
        <f aca="false">IF(A297="","",YEAR(A297))</f>
        <v/>
      </c>
    </row>
    <row r="298" customFormat="false" ht="15" hidden="false" customHeight="false" outlineLevel="0" collapsed="false">
      <c r="A298" s="17"/>
      <c r="B298" s="16"/>
      <c r="C298" s="16"/>
      <c r="D298" s="16"/>
      <c r="E298" s="19"/>
      <c r="F298" s="14" t="str">
        <f aca="false">IF(A298="","",MONTH(A298))</f>
        <v/>
      </c>
      <c r="G298" s="14" t="str">
        <f aca="false">IF(A298="","",YEAR(A298))</f>
        <v/>
      </c>
    </row>
    <row r="299" customFormat="false" ht="15" hidden="false" customHeight="false" outlineLevel="0" collapsed="false">
      <c r="A299" s="17"/>
      <c r="B299" s="16"/>
      <c r="C299" s="16"/>
      <c r="D299" s="16"/>
      <c r="E299" s="19"/>
      <c r="F299" s="14" t="str">
        <f aca="false">IF(A299="","",MONTH(A299))</f>
        <v/>
      </c>
      <c r="G299" s="14" t="str">
        <f aca="false">IF(A299="","",YEAR(A299))</f>
        <v/>
      </c>
    </row>
    <row r="300" customFormat="false" ht="15" hidden="false" customHeight="false" outlineLevel="0" collapsed="false">
      <c r="A300" s="17"/>
      <c r="B300" s="16"/>
      <c r="C300" s="16"/>
      <c r="D300" s="16"/>
      <c r="E300" s="19"/>
      <c r="F300" s="14" t="str">
        <f aca="false">IF(A300="","",MONTH(A300))</f>
        <v/>
      </c>
      <c r="G300" s="14" t="str">
        <f aca="false">IF(A300="","",YEAR(A300))</f>
        <v/>
      </c>
    </row>
    <row r="301" customFormat="false" ht="15" hidden="false" customHeight="false" outlineLevel="0" collapsed="false">
      <c r="A301" s="17"/>
      <c r="B301" s="16"/>
      <c r="C301" s="16"/>
      <c r="D301" s="16"/>
      <c r="E301" s="19"/>
      <c r="F301" s="14" t="str">
        <f aca="false">IF(A301="","",MONTH(A301))</f>
        <v/>
      </c>
      <c r="G301" s="14" t="str">
        <f aca="false">IF(A301="","",YEAR(A301))</f>
        <v/>
      </c>
    </row>
    <row r="302" customFormat="false" ht="15" hidden="false" customHeight="false" outlineLevel="0" collapsed="false">
      <c r="A302" s="17"/>
      <c r="B302" s="16"/>
      <c r="C302" s="16"/>
      <c r="D302" s="16"/>
      <c r="E302" s="19"/>
      <c r="F302" s="14" t="str">
        <f aca="false">IF(A302="","",MONTH(A302))</f>
        <v/>
      </c>
      <c r="G302" s="14" t="str">
        <f aca="false">IF(A302="","",YEAR(A302))</f>
        <v/>
      </c>
    </row>
    <row r="303" customFormat="false" ht="15" hidden="false" customHeight="false" outlineLevel="0" collapsed="false">
      <c r="A303" s="17"/>
      <c r="B303" s="16"/>
      <c r="C303" s="16"/>
      <c r="D303" s="16"/>
      <c r="E303" s="19"/>
      <c r="F303" s="14" t="str">
        <f aca="false">IF(A303="","",MONTH(A303))</f>
        <v/>
      </c>
      <c r="G303" s="14" t="str">
        <f aca="false">IF(A303="","",YEAR(A303))</f>
        <v/>
      </c>
    </row>
  </sheetData>
  <sheetProtection sheet="true" formatCells="false" formatColumns="false" formatRows="false" sort="false" autoFilter="false"/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B4:B303" type="list">
      <formula1>Paramètres!$A$9:$A$18</formula1>
      <formula2>0</formula2>
    </dataValidation>
    <dataValidation allowBlank="true" errorStyle="stop" operator="between" showDropDown="false" showErrorMessage="false" showInputMessage="false" sqref="C4:C303" type="list">
      <formula1>Paramètres!$J$9:$J$14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73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</row>
    <row r="3" customFormat="false" ht="15" hidden="false" customHeight="false" outlineLevel="0" collapsed="false">
      <c r="A3" s="6" t="s">
        <v>65</v>
      </c>
      <c r="B3" s="6" t="s">
        <v>21</v>
      </c>
      <c r="C3" s="6" t="s">
        <v>74</v>
      </c>
      <c r="D3" s="6" t="s">
        <v>42</v>
      </c>
      <c r="E3" s="6" t="s">
        <v>75</v>
      </c>
    </row>
    <row r="4" customFormat="false" ht="15" hidden="false" customHeight="false" outlineLevel="0" collapsed="false">
      <c r="A4" s="17" t="n">
        <v>46217</v>
      </c>
      <c r="B4" s="16" t="s">
        <v>49</v>
      </c>
      <c r="C4" s="16" t="s">
        <v>48</v>
      </c>
      <c r="D4" s="16" t="s">
        <v>55</v>
      </c>
      <c r="E4" s="16" t="s">
        <v>76</v>
      </c>
    </row>
    <row r="5" customFormat="false" ht="15" hidden="false" customHeight="false" outlineLevel="0" collapsed="false">
      <c r="A5" s="17" t="n">
        <v>46224</v>
      </c>
      <c r="B5" s="16" t="s">
        <v>49</v>
      </c>
      <c r="C5" s="16" t="s">
        <v>57</v>
      </c>
      <c r="D5" s="16" t="s">
        <v>63</v>
      </c>
      <c r="E5" s="16"/>
    </row>
    <row r="6" customFormat="false" ht="15" hidden="false" customHeight="false" outlineLevel="0" collapsed="false">
      <c r="A6" s="17"/>
      <c r="B6" s="16"/>
      <c r="C6" s="16"/>
      <c r="D6" s="16"/>
      <c r="E6" s="16"/>
    </row>
    <row r="7" customFormat="false" ht="15" hidden="false" customHeight="false" outlineLevel="0" collapsed="false">
      <c r="A7" s="17"/>
      <c r="B7" s="16"/>
      <c r="C7" s="16"/>
      <c r="D7" s="16"/>
      <c r="E7" s="16"/>
    </row>
    <row r="8" customFormat="false" ht="15" hidden="false" customHeight="false" outlineLevel="0" collapsed="false">
      <c r="A8" s="17"/>
      <c r="B8" s="16"/>
      <c r="C8" s="16"/>
      <c r="D8" s="16"/>
      <c r="E8" s="16"/>
    </row>
    <row r="9" customFormat="false" ht="15" hidden="false" customHeight="false" outlineLevel="0" collapsed="false">
      <c r="A9" s="17"/>
      <c r="B9" s="16"/>
      <c r="C9" s="16"/>
      <c r="D9" s="16"/>
      <c r="E9" s="16"/>
    </row>
    <row r="10" customFormat="false" ht="15" hidden="false" customHeight="false" outlineLevel="0" collapsed="false">
      <c r="A10" s="17"/>
      <c r="B10" s="16"/>
      <c r="C10" s="16"/>
      <c r="D10" s="16"/>
      <c r="E10" s="16"/>
    </row>
    <row r="11" customFormat="false" ht="15" hidden="false" customHeight="false" outlineLevel="0" collapsed="false">
      <c r="A11" s="17"/>
      <c r="B11" s="16"/>
      <c r="C11" s="16"/>
      <c r="D11" s="16"/>
      <c r="E11" s="16"/>
    </row>
    <row r="12" customFormat="false" ht="15" hidden="false" customHeight="false" outlineLevel="0" collapsed="false">
      <c r="A12" s="17"/>
      <c r="B12" s="16"/>
      <c r="C12" s="16"/>
      <c r="D12" s="16"/>
      <c r="E12" s="16"/>
    </row>
    <row r="13" customFormat="false" ht="15" hidden="false" customHeight="false" outlineLevel="0" collapsed="false">
      <c r="A13" s="17"/>
      <c r="B13" s="16"/>
      <c r="C13" s="16"/>
      <c r="D13" s="16"/>
      <c r="E13" s="16"/>
    </row>
    <row r="14" customFormat="false" ht="15" hidden="false" customHeight="false" outlineLevel="0" collapsed="false">
      <c r="A14" s="17"/>
      <c r="B14" s="16"/>
      <c r="C14" s="16"/>
      <c r="D14" s="16"/>
      <c r="E14" s="16"/>
    </row>
    <row r="15" customFormat="false" ht="15" hidden="false" customHeight="false" outlineLevel="0" collapsed="false">
      <c r="A15" s="17"/>
      <c r="B15" s="16"/>
      <c r="C15" s="16"/>
      <c r="D15" s="16"/>
      <c r="E15" s="16"/>
    </row>
    <row r="16" customFormat="false" ht="15" hidden="false" customHeight="false" outlineLevel="0" collapsed="false">
      <c r="A16" s="17"/>
      <c r="B16" s="16"/>
      <c r="C16" s="16"/>
      <c r="D16" s="16"/>
      <c r="E16" s="16"/>
    </row>
    <row r="17" customFormat="false" ht="15" hidden="false" customHeight="false" outlineLevel="0" collapsed="false">
      <c r="A17" s="17"/>
      <c r="B17" s="16"/>
      <c r="C17" s="16"/>
      <c r="D17" s="16"/>
      <c r="E17" s="16"/>
    </row>
    <row r="18" customFormat="false" ht="15" hidden="false" customHeight="false" outlineLevel="0" collapsed="false">
      <c r="A18" s="17"/>
      <c r="B18" s="16"/>
      <c r="C18" s="16"/>
      <c r="D18" s="16"/>
      <c r="E18" s="16"/>
    </row>
    <row r="19" customFormat="false" ht="15" hidden="false" customHeight="false" outlineLevel="0" collapsed="false">
      <c r="A19" s="17"/>
      <c r="B19" s="16"/>
      <c r="C19" s="16"/>
      <c r="D19" s="16"/>
      <c r="E19" s="16"/>
    </row>
    <row r="20" customFormat="false" ht="15" hidden="false" customHeight="false" outlineLevel="0" collapsed="false">
      <c r="A20" s="17"/>
      <c r="B20" s="16"/>
      <c r="C20" s="16"/>
      <c r="D20" s="16"/>
      <c r="E20" s="16"/>
    </row>
    <row r="21" customFormat="false" ht="15" hidden="false" customHeight="false" outlineLevel="0" collapsed="false">
      <c r="A21" s="17"/>
      <c r="B21" s="16"/>
      <c r="C21" s="16"/>
      <c r="D21" s="16"/>
      <c r="E21" s="16"/>
    </row>
    <row r="22" customFormat="false" ht="15" hidden="false" customHeight="false" outlineLevel="0" collapsed="false">
      <c r="A22" s="17"/>
      <c r="B22" s="16"/>
      <c r="C22" s="16"/>
      <c r="D22" s="16"/>
      <c r="E22" s="16"/>
    </row>
    <row r="23" customFormat="false" ht="15" hidden="false" customHeight="false" outlineLevel="0" collapsed="false">
      <c r="A23" s="17"/>
      <c r="B23" s="16"/>
      <c r="C23" s="16"/>
      <c r="D23" s="16"/>
      <c r="E23" s="16"/>
    </row>
    <row r="24" customFormat="false" ht="15" hidden="false" customHeight="false" outlineLevel="0" collapsed="false">
      <c r="A24" s="17"/>
      <c r="B24" s="16"/>
      <c r="C24" s="16"/>
      <c r="D24" s="16"/>
      <c r="E24" s="16"/>
    </row>
    <row r="25" customFormat="false" ht="15" hidden="false" customHeight="false" outlineLevel="0" collapsed="false">
      <c r="A25" s="17"/>
      <c r="B25" s="16"/>
      <c r="C25" s="16"/>
      <c r="D25" s="16"/>
      <c r="E25" s="16"/>
    </row>
    <row r="26" customFormat="false" ht="15" hidden="false" customHeight="false" outlineLevel="0" collapsed="false">
      <c r="A26" s="17"/>
      <c r="B26" s="16"/>
      <c r="C26" s="16"/>
      <c r="D26" s="16"/>
      <c r="E26" s="16"/>
    </row>
    <row r="27" customFormat="false" ht="15" hidden="false" customHeight="false" outlineLevel="0" collapsed="false">
      <c r="A27" s="17"/>
      <c r="B27" s="16"/>
      <c r="C27" s="16"/>
      <c r="D27" s="16"/>
      <c r="E27" s="16"/>
    </row>
    <row r="28" customFormat="false" ht="15" hidden="false" customHeight="false" outlineLevel="0" collapsed="false">
      <c r="A28" s="17"/>
      <c r="B28" s="16"/>
      <c r="C28" s="16"/>
      <c r="D28" s="16"/>
      <c r="E28" s="16"/>
    </row>
    <row r="29" customFormat="false" ht="15" hidden="false" customHeight="false" outlineLevel="0" collapsed="false">
      <c r="A29" s="17"/>
      <c r="B29" s="16"/>
      <c r="C29" s="16"/>
      <c r="D29" s="16"/>
      <c r="E29" s="16"/>
    </row>
    <row r="30" customFormat="false" ht="15" hidden="false" customHeight="false" outlineLevel="0" collapsed="false">
      <c r="A30" s="17"/>
      <c r="B30" s="16"/>
      <c r="C30" s="16"/>
      <c r="D30" s="16"/>
      <c r="E30" s="16"/>
    </row>
    <row r="31" customFormat="false" ht="15" hidden="false" customHeight="false" outlineLevel="0" collapsed="false">
      <c r="A31" s="17"/>
      <c r="B31" s="16"/>
      <c r="C31" s="16"/>
      <c r="D31" s="16"/>
      <c r="E31" s="16"/>
    </row>
    <row r="32" customFormat="false" ht="15" hidden="false" customHeight="false" outlineLevel="0" collapsed="false">
      <c r="A32" s="17"/>
      <c r="B32" s="16"/>
      <c r="C32" s="16"/>
      <c r="D32" s="16"/>
      <c r="E32" s="16"/>
    </row>
    <row r="33" customFormat="false" ht="15" hidden="false" customHeight="false" outlineLevel="0" collapsed="false">
      <c r="A33" s="17"/>
      <c r="B33" s="16"/>
      <c r="C33" s="16"/>
      <c r="D33" s="16"/>
      <c r="E33" s="16"/>
    </row>
    <row r="34" customFormat="false" ht="15" hidden="false" customHeight="false" outlineLevel="0" collapsed="false">
      <c r="A34" s="17"/>
      <c r="B34" s="16"/>
      <c r="C34" s="16"/>
      <c r="D34" s="16"/>
      <c r="E34" s="16"/>
    </row>
    <row r="35" customFormat="false" ht="15" hidden="false" customHeight="false" outlineLevel="0" collapsed="false">
      <c r="A35" s="17"/>
      <c r="B35" s="16"/>
      <c r="C35" s="16"/>
      <c r="D35" s="16"/>
      <c r="E35" s="16"/>
    </row>
    <row r="36" customFormat="false" ht="15" hidden="false" customHeight="false" outlineLevel="0" collapsed="false">
      <c r="A36" s="17"/>
      <c r="B36" s="16"/>
      <c r="C36" s="16"/>
      <c r="D36" s="16"/>
      <c r="E36" s="16"/>
    </row>
    <row r="37" customFormat="false" ht="15" hidden="false" customHeight="false" outlineLevel="0" collapsed="false">
      <c r="A37" s="17"/>
      <c r="B37" s="16"/>
      <c r="C37" s="16"/>
      <c r="D37" s="16"/>
      <c r="E37" s="16"/>
    </row>
    <row r="38" customFormat="false" ht="15" hidden="false" customHeight="false" outlineLevel="0" collapsed="false">
      <c r="A38" s="17"/>
      <c r="B38" s="16"/>
      <c r="C38" s="16"/>
      <c r="D38" s="16"/>
      <c r="E38" s="16"/>
    </row>
    <row r="39" customFormat="false" ht="15" hidden="false" customHeight="false" outlineLevel="0" collapsed="false">
      <c r="A39" s="17"/>
      <c r="B39" s="16"/>
      <c r="C39" s="16"/>
      <c r="D39" s="16"/>
      <c r="E39" s="16"/>
    </row>
    <row r="40" customFormat="false" ht="15" hidden="false" customHeight="false" outlineLevel="0" collapsed="false">
      <c r="A40" s="17"/>
      <c r="B40" s="16"/>
      <c r="C40" s="16"/>
      <c r="D40" s="16"/>
      <c r="E40" s="16"/>
    </row>
    <row r="41" customFormat="false" ht="15" hidden="false" customHeight="false" outlineLevel="0" collapsed="false">
      <c r="A41" s="17"/>
      <c r="B41" s="16"/>
      <c r="C41" s="16"/>
      <c r="D41" s="16"/>
      <c r="E41" s="16"/>
    </row>
    <row r="42" customFormat="false" ht="15" hidden="false" customHeight="false" outlineLevel="0" collapsed="false">
      <c r="A42" s="17"/>
      <c r="B42" s="16"/>
      <c r="C42" s="16"/>
      <c r="D42" s="16"/>
      <c r="E42" s="16"/>
    </row>
    <row r="43" customFormat="false" ht="15" hidden="false" customHeight="false" outlineLevel="0" collapsed="false">
      <c r="A43" s="17"/>
      <c r="B43" s="16"/>
      <c r="C43" s="16"/>
      <c r="D43" s="16"/>
      <c r="E43" s="16"/>
    </row>
    <row r="44" customFormat="false" ht="15" hidden="false" customHeight="false" outlineLevel="0" collapsed="false">
      <c r="A44" s="17"/>
      <c r="B44" s="16"/>
      <c r="C44" s="16"/>
      <c r="D44" s="16"/>
      <c r="E44" s="16"/>
    </row>
    <row r="45" customFormat="false" ht="15" hidden="false" customHeight="false" outlineLevel="0" collapsed="false">
      <c r="A45" s="17"/>
      <c r="B45" s="16"/>
      <c r="C45" s="16"/>
      <c r="D45" s="16"/>
      <c r="E45" s="16"/>
    </row>
    <row r="46" customFormat="false" ht="15" hidden="false" customHeight="false" outlineLevel="0" collapsed="false">
      <c r="A46" s="17"/>
      <c r="B46" s="16"/>
      <c r="C46" s="16"/>
      <c r="D46" s="16"/>
      <c r="E46" s="16"/>
    </row>
    <row r="47" customFormat="false" ht="15" hidden="false" customHeight="false" outlineLevel="0" collapsed="false">
      <c r="A47" s="17"/>
      <c r="B47" s="16"/>
      <c r="C47" s="16"/>
      <c r="D47" s="16"/>
      <c r="E47" s="16"/>
    </row>
    <row r="48" customFormat="false" ht="15" hidden="false" customHeight="false" outlineLevel="0" collapsed="false">
      <c r="A48" s="17"/>
      <c r="B48" s="16"/>
      <c r="C48" s="16"/>
      <c r="D48" s="16"/>
      <c r="E48" s="16"/>
    </row>
    <row r="49" customFormat="false" ht="15" hidden="false" customHeight="false" outlineLevel="0" collapsed="false">
      <c r="A49" s="17"/>
      <c r="B49" s="16"/>
      <c r="C49" s="16"/>
      <c r="D49" s="16"/>
      <c r="E49" s="16"/>
    </row>
    <row r="50" customFormat="false" ht="15" hidden="false" customHeight="false" outlineLevel="0" collapsed="false">
      <c r="A50" s="17"/>
      <c r="B50" s="16"/>
      <c r="C50" s="16"/>
      <c r="D50" s="16"/>
      <c r="E50" s="16"/>
    </row>
    <row r="51" customFormat="false" ht="15" hidden="false" customHeight="false" outlineLevel="0" collapsed="false">
      <c r="A51" s="17"/>
      <c r="B51" s="16"/>
      <c r="C51" s="16"/>
      <c r="D51" s="16"/>
      <c r="E51" s="16"/>
    </row>
    <row r="52" customFormat="false" ht="15" hidden="false" customHeight="false" outlineLevel="0" collapsed="false">
      <c r="A52" s="17"/>
      <c r="B52" s="16"/>
      <c r="C52" s="16"/>
      <c r="D52" s="16"/>
      <c r="E52" s="16"/>
    </row>
    <row r="53" customFormat="false" ht="15" hidden="false" customHeight="false" outlineLevel="0" collapsed="false">
      <c r="A53" s="17"/>
      <c r="B53" s="16"/>
      <c r="C53" s="16"/>
      <c r="D53" s="16"/>
      <c r="E53" s="16"/>
    </row>
    <row r="54" customFormat="false" ht="15" hidden="false" customHeight="false" outlineLevel="0" collapsed="false">
      <c r="A54" s="17"/>
      <c r="B54" s="16"/>
      <c r="C54" s="16"/>
      <c r="D54" s="16"/>
      <c r="E54" s="16"/>
    </row>
    <row r="55" customFormat="false" ht="15" hidden="false" customHeight="false" outlineLevel="0" collapsed="false">
      <c r="A55" s="17"/>
      <c r="B55" s="16"/>
      <c r="C55" s="16"/>
      <c r="D55" s="16"/>
      <c r="E55" s="16"/>
    </row>
    <row r="56" customFormat="false" ht="15" hidden="false" customHeight="false" outlineLevel="0" collapsed="false">
      <c r="A56" s="17"/>
      <c r="B56" s="16"/>
      <c r="C56" s="16"/>
      <c r="D56" s="16"/>
      <c r="E56" s="16"/>
    </row>
    <row r="57" customFormat="false" ht="15" hidden="false" customHeight="false" outlineLevel="0" collapsed="false">
      <c r="A57" s="17"/>
      <c r="B57" s="16"/>
      <c r="C57" s="16"/>
      <c r="D57" s="16"/>
      <c r="E57" s="16"/>
    </row>
    <row r="58" customFormat="false" ht="15" hidden="false" customHeight="false" outlineLevel="0" collapsed="false">
      <c r="A58" s="17"/>
      <c r="B58" s="16"/>
      <c r="C58" s="16"/>
      <c r="D58" s="16"/>
      <c r="E58" s="16"/>
    </row>
    <row r="59" customFormat="false" ht="15" hidden="false" customHeight="false" outlineLevel="0" collapsed="false">
      <c r="A59" s="17"/>
      <c r="B59" s="16"/>
      <c r="C59" s="16"/>
      <c r="D59" s="16"/>
      <c r="E59" s="16"/>
    </row>
    <row r="60" customFormat="false" ht="15" hidden="false" customHeight="false" outlineLevel="0" collapsed="false">
      <c r="A60" s="17"/>
      <c r="B60" s="16"/>
      <c r="C60" s="16"/>
      <c r="D60" s="16"/>
      <c r="E60" s="16"/>
    </row>
    <row r="61" customFormat="false" ht="15" hidden="false" customHeight="false" outlineLevel="0" collapsed="false">
      <c r="A61" s="17"/>
      <c r="B61" s="16"/>
      <c r="C61" s="16"/>
      <c r="D61" s="16"/>
      <c r="E61" s="16"/>
    </row>
    <row r="62" customFormat="false" ht="15" hidden="false" customHeight="false" outlineLevel="0" collapsed="false">
      <c r="A62" s="17"/>
      <c r="B62" s="16"/>
      <c r="C62" s="16"/>
      <c r="D62" s="16"/>
      <c r="E62" s="16"/>
    </row>
    <row r="63" customFormat="false" ht="15" hidden="false" customHeight="false" outlineLevel="0" collapsed="false">
      <c r="A63" s="17"/>
      <c r="B63" s="16"/>
      <c r="C63" s="16"/>
      <c r="D63" s="16"/>
      <c r="E63" s="16"/>
    </row>
    <row r="64" customFormat="false" ht="15" hidden="false" customHeight="false" outlineLevel="0" collapsed="false">
      <c r="A64" s="17"/>
      <c r="B64" s="16"/>
      <c r="C64" s="16"/>
      <c r="D64" s="16"/>
      <c r="E64" s="16"/>
    </row>
    <row r="65" customFormat="false" ht="15" hidden="false" customHeight="false" outlineLevel="0" collapsed="false">
      <c r="A65" s="17"/>
      <c r="B65" s="16"/>
      <c r="C65" s="16"/>
      <c r="D65" s="16"/>
      <c r="E65" s="16"/>
    </row>
    <row r="66" customFormat="false" ht="15" hidden="false" customHeight="false" outlineLevel="0" collapsed="false">
      <c r="A66" s="17"/>
      <c r="B66" s="16"/>
      <c r="C66" s="16"/>
      <c r="D66" s="16"/>
      <c r="E66" s="16"/>
    </row>
    <row r="67" customFormat="false" ht="15" hidden="false" customHeight="false" outlineLevel="0" collapsed="false">
      <c r="A67" s="17"/>
      <c r="B67" s="16"/>
      <c r="C67" s="16"/>
      <c r="D67" s="16"/>
      <c r="E67" s="16"/>
    </row>
    <row r="68" customFormat="false" ht="15" hidden="false" customHeight="false" outlineLevel="0" collapsed="false">
      <c r="A68" s="17"/>
      <c r="B68" s="16"/>
      <c r="C68" s="16"/>
      <c r="D68" s="16"/>
      <c r="E68" s="16"/>
    </row>
    <row r="69" customFormat="false" ht="15" hidden="false" customHeight="false" outlineLevel="0" collapsed="false">
      <c r="A69" s="17"/>
      <c r="B69" s="16"/>
      <c r="C69" s="16"/>
      <c r="D69" s="16"/>
      <c r="E69" s="16"/>
    </row>
    <row r="70" customFormat="false" ht="15" hidden="false" customHeight="false" outlineLevel="0" collapsed="false">
      <c r="A70" s="17"/>
      <c r="B70" s="16"/>
      <c r="C70" s="16"/>
      <c r="D70" s="16"/>
      <c r="E70" s="16"/>
    </row>
    <row r="71" customFormat="false" ht="15" hidden="false" customHeight="false" outlineLevel="0" collapsed="false">
      <c r="A71" s="17"/>
      <c r="B71" s="16"/>
      <c r="C71" s="16"/>
      <c r="D71" s="16"/>
      <c r="E71" s="16"/>
    </row>
    <row r="72" customFormat="false" ht="15" hidden="false" customHeight="false" outlineLevel="0" collapsed="false">
      <c r="A72" s="17"/>
      <c r="B72" s="16"/>
      <c r="C72" s="16"/>
      <c r="D72" s="16"/>
      <c r="E72" s="16"/>
    </row>
    <row r="73" customFormat="false" ht="15" hidden="false" customHeight="false" outlineLevel="0" collapsed="false">
      <c r="A73" s="17"/>
      <c r="B73" s="16"/>
      <c r="C73" s="16"/>
      <c r="D73" s="16"/>
      <c r="E73" s="16"/>
    </row>
    <row r="74" customFormat="false" ht="15" hidden="false" customHeight="false" outlineLevel="0" collapsed="false">
      <c r="A74" s="17"/>
      <c r="B74" s="16"/>
      <c r="C74" s="16"/>
      <c r="D74" s="16"/>
      <c r="E74" s="16"/>
    </row>
    <row r="75" customFormat="false" ht="15" hidden="false" customHeight="false" outlineLevel="0" collapsed="false">
      <c r="A75" s="17"/>
      <c r="B75" s="16"/>
      <c r="C75" s="16"/>
      <c r="D75" s="16"/>
      <c r="E75" s="16"/>
    </row>
    <row r="76" customFormat="false" ht="15" hidden="false" customHeight="false" outlineLevel="0" collapsed="false">
      <c r="A76" s="17"/>
      <c r="B76" s="16"/>
      <c r="C76" s="16"/>
      <c r="D76" s="16"/>
      <c r="E76" s="16"/>
    </row>
    <row r="77" customFormat="false" ht="15" hidden="false" customHeight="false" outlineLevel="0" collapsed="false">
      <c r="A77" s="17"/>
      <c r="B77" s="16"/>
      <c r="C77" s="16"/>
      <c r="D77" s="16"/>
      <c r="E77" s="16"/>
    </row>
    <row r="78" customFormat="false" ht="15" hidden="false" customHeight="false" outlineLevel="0" collapsed="false">
      <c r="A78" s="17"/>
      <c r="B78" s="16"/>
      <c r="C78" s="16"/>
      <c r="D78" s="16"/>
      <c r="E78" s="16"/>
    </row>
    <row r="79" customFormat="false" ht="15" hidden="false" customHeight="false" outlineLevel="0" collapsed="false">
      <c r="A79" s="17"/>
      <c r="B79" s="16"/>
      <c r="C79" s="16"/>
      <c r="D79" s="16"/>
      <c r="E79" s="16"/>
    </row>
    <row r="80" customFormat="false" ht="15" hidden="false" customHeight="false" outlineLevel="0" collapsed="false">
      <c r="A80" s="17"/>
      <c r="B80" s="16"/>
      <c r="C80" s="16"/>
      <c r="D80" s="16"/>
      <c r="E80" s="16"/>
    </row>
    <row r="81" customFormat="false" ht="15" hidden="false" customHeight="false" outlineLevel="0" collapsed="false">
      <c r="A81" s="17"/>
      <c r="B81" s="16"/>
      <c r="C81" s="16"/>
      <c r="D81" s="16"/>
      <c r="E81" s="16"/>
    </row>
    <row r="82" customFormat="false" ht="15" hidden="false" customHeight="false" outlineLevel="0" collapsed="false">
      <c r="A82" s="17"/>
      <c r="B82" s="16"/>
      <c r="C82" s="16"/>
      <c r="D82" s="16"/>
      <c r="E82" s="16"/>
    </row>
    <row r="83" customFormat="false" ht="15" hidden="false" customHeight="false" outlineLevel="0" collapsed="false">
      <c r="A83" s="17"/>
      <c r="B83" s="16"/>
      <c r="C83" s="16"/>
      <c r="D83" s="16"/>
      <c r="E83" s="16"/>
    </row>
    <row r="84" customFormat="false" ht="15" hidden="false" customHeight="false" outlineLevel="0" collapsed="false">
      <c r="A84" s="17"/>
      <c r="B84" s="16"/>
      <c r="C84" s="16"/>
      <c r="D84" s="16"/>
      <c r="E84" s="16"/>
    </row>
    <row r="85" customFormat="false" ht="15" hidden="false" customHeight="false" outlineLevel="0" collapsed="false">
      <c r="A85" s="17"/>
      <c r="B85" s="16"/>
      <c r="C85" s="16"/>
      <c r="D85" s="16"/>
      <c r="E85" s="16"/>
    </row>
    <row r="86" customFormat="false" ht="15" hidden="false" customHeight="false" outlineLevel="0" collapsed="false">
      <c r="A86" s="17"/>
      <c r="B86" s="16"/>
      <c r="C86" s="16"/>
      <c r="D86" s="16"/>
      <c r="E86" s="16"/>
    </row>
    <row r="87" customFormat="false" ht="15" hidden="false" customHeight="false" outlineLevel="0" collapsed="false">
      <c r="A87" s="17"/>
      <c r="B87" s="16"/>
      <c r="C87" s="16"/>
      <c r="D87" s="16"/>
      <c r="E87" s="16"/>
    </row>
    <row r="88" customFormat="false" ht="15" hidden="false" customHeight="false" outlineLevel="0" collapsed="false">
      <c r="A88" s="17"/>
      <c r="B88" s="16"/>
      <c r="C88" s="16"/>
      <c r="D88" s="16"/>
      <c r="E88" s="16"/>
    </row>
    <row r="89" customFormat="false" ht="15" hidden="false" customHeight="false" outlineLevel="0" collapsed="false">
      <c r="A89" s="17"/>
      <c r="B89" s="16"/>
      <c r="C89" s="16"/>
      <c r="D89" s="16"/>
      <c r="E89" s="16"/>
    </row>
    <row r="90" customFormat="false" ht="15" hidden="false" customHeight="false" outlineLevel="0" collapsed="false">
      <c r="A90" s="17"/>
      <c r="B90" s="16"/>
      <c r="C90" s="16"/>
      <c r="D90" s="16"/>
      <c r="E90" s="16"/>
    </row>
    <row r="91" customFormat="false" ht="15" hidden="false" customHeight="false" outlineLevel="0" collapsed="false">
      <c r="A91" s="17"/>
      <c r="B91" s="16"/>
      <c r="C91" s="16"/>
      <c r="D91" s="16"/>
      <c r="E91" s="16"/>
    </row>
    <row r="92" customFormat="false" ht="15" hidden="false" customHeight="false" outlineLevel="0" collapsed="false">
      <c r="A92" s="17"/>
      <c r="B92" s="16"/>
      <c r="C92" s="16"/>
      <c r="D92" s="16"/>
      <c r="E92" s="16"/>
    </row>
    <row r="93" customFormat="false" ht="15" hidden="false" customHeight="false" outlineLevel="0" collapsed="false">
      <c r="A93" s="17"/>
      <c r="B93" s="16"/>
      <c r="C93" s="16"/>
      <c r="D93" s="16"/>
      <c r="E93" s="16"/>
    </row>
    <row r="94" customFormat="false" ht="15" hidden="false" customHeight="false" outlineLevel="0" collapsed="false">
      <c r="A94" s="17"/>
      <c r="B94" s="16"/>
      <c r="C94" s="16"/>
      <c r="D94" s="16"/>
      <c r="E94" s="16"/>
    </row>
    <row r="95" customFormat="false" ht="15" hidden="false" customHeight="false" outlineLevel="0" collapsed="false">
      <c r="A95" s="17"/>
      <c r="B95" s="16"/>
      <c r="C95" s="16"/>
      <c r="D95" s="16"/>
      <c r="E95" s="16"/>
    </row>
    <row r="96" customFormat="false" ht="15" hidden="false" customHeight="false" outlineLevel="0" collapsed="false">
      <c r="A96" s="17"/>
      <c r="B96" s="16"/>
      <c r="C96" s="16"/>
      <c r="D96" s="16"/>
      <c r="E96" s="16"/>
    </row>
    <row r="97" customFormat="false" ht="15" hidden="false" customHeight="false" outlineLevel="0" collapsed="false">
      <c r="A97" s="17"/>
      <c r="B97" s="16"/>
      <c r="C97" s="16"/>
      <c r="D97" s="16"/>
      <c r="E97" s="16"/>
    </row>
    <row r="98" customFormat="false" ht="15" hidden="false" customHeight="false" outlineLevel="0" collapsed="false">
      <c r="A98" s="17"/>
      <c r="B98" s="16"/>
      <c r="C98" s="16"/>
      <c r="D98" s="16"/>
      <c r="E98" s="16"/>
    </row>
    <row r="99" customFormat="false" ht="15" hidden="false" customHeight="false" outlineLevel="0" collapsed="false">
      <c r="A99" s="17"/>
      <c r="B99" s="16"/>
      <c r="C99" s="16"/>
      <c r="D99" s="16"/>
      <c r="E99" s="16"/>
    </row>
    <row r="100" customFormat="false" ht="15" hidden="false" customHeight="false" outlineLevel="0" collapsed="false">
      <c r="A100" s="17"/>
      <c r="B100" s="16"/>
      <c r="C100" s="16"/>
      <c r="D100" s="16"/>
      <c r="E100" s="16"/>
    </row>
    <row r="101" customFormat="false" ht="15" hidden="false" customHeight="false" outlineLevel="0" collapsed="false">
      <c r="A101" s="17"/>
      <c r="B101" s="16"/>
      <c r="C101" s="16"/>
      <c r="D101" s="16"/>
      <c r="E101" s="16"/>
    </row>
    <row r="102" customFormat="false" ht="15" hidden="false" customHeight="false" outlineLevel="0" collapsed="false">
      <c r="A102" s="17"/>
      <c r="B102" s="16"/>
      <c r="C102" s="16"/>
      <c r="D102" s="16"/>
      <c r="E102" s="16"/>
    </row>
    <row r="103" customFormat="false" ht="15" hidden="false" customHeight="false" outlineLevel="0" collapsed="false">
      <c r="A103" s="17"/>
      <c r="B103" s="16"/>
      <c r="C103" s="16"/>
      <c r="D103" s="16"/>
      <c r="E103" s="16"/>
    </row>
    <row r="104" customFormat="false" ht="15" hidden="false" customHeight="false" outlineLevel="0" collapsed="false">
      <c r="A104" s="17"/>
      <c r="B104" s="16"/>
      <c r="C104" s="16"/>
      <c r="D104" s="16"/>
      <c r="E104" s="16"/>
    </row>
    <row r="105" customFormat="false" ht="15" hidden="false" customHeight="false" outlineLevel="0" collapsed="false">
      <c r="A105" s="17"/>
      <c r="B105" s="16"/>
      <c r="C105" s="16"/>
      <c r="D105" s="16"/>
      <c r="E105" s="16"/>
    </row>
    <row r="106" customFormat="false" ht="15" hidden="false" customHeight="false" outlineLevel="0" collapsed="false">
      <c r="A106" s="17"/>
      <c r="B106" s="16"/>
      <c r="C106" s="16"/>
      <c r="D106" s="16"/>
      <c r="E106" s="16"/>
    </row>
    <row r="107" customFormat="false" ht="15" hidden="false" customHeight="false" outlineLevel="0" collapsed="false">
      <c r="A107" s="17"/>
      <c r="B107" s="16"/>
      <c r="C107" s="16"/>
      <c r="D107" s="16"/>
      <c r="E107" s="16"/>
    </row>
    <row r="108" customFormat="false" ht="15" hidden="false" customHeight="false" outlineLevel="0" collapsed="false">
      <c r="A108" s="17"/>
      <c r="B108" s="16"/>
      <c r="C108" s="16"/>
      <c r="D108" s="16"/>
      <c r="E108" s="16"/>
    </row>
    <row r="109" customFormat="false" ht="15" hidden="false" customHeight="false" outlineLevel="0" collapsed="false">
      <c r="A109" s="17"/>
      <c r="B109" s="16"/>
      <c r="C109" s="16"/>
      <c r="D109" s="16"/>
      <c r="E109" s="16"/>
    </row>
    <row r="110" customFormat="false" ht="15" hidden="false" customHeight="false" outlineLevel="0" collapsed="false">
      <c r="A110" s="17"/>
      <c r="B110" s="16"/>
      <c r="C110" s="16"/>
      <c r="D110" s="16"/>
      <c r="E110" s="16"/>
    </row>
    <row r="111" customFormat="false" ht="15" hidden="false" customHeight="false" outlineLevel="0" collapsed="false">
      <c r="A111" s="17"/>
      <c r="B111" s="16"/>
      <c r="C111" s="16"/>
      <c r="D111" s="16"/>
      <c r="E111" s="16"/>
    </row>
    <row r="112" customFormat="false" ht="15" hidden="false" customHeight="false" outlineLevel="0" collapsed="false">
      <c r="A112" s="17"/>
      <c r="B112" s="16"/>
      <c r="C112" s="16"/>
      <c r="D112" s="16"/>
      <c r="E112" s="16"/>
    </row>
    <row r="113" customFormat="false" ht="15" hidden="false" customHeight="false" outlineLevel="0" collapsed="false">
      <c r="A113" s="17"/>
      <c r="B113" s="16"/>
      <c r="C113" s="16"/>
      <c r="D113" s="16"/>
      <c r="E113" s="16"/>
    </row>
    <row r="114" customFormat="false" ht="15" hidden="false" customHeight="false" outlineLevel="0" collapsed="false">
      <c r="A114" s="17"/>
      <c r="B114" s="16"/>
      <c r="C114" s="16"/>
      <c r="D114" s="16"/>
      <c r="E114" s="16"/>
    </row>
    <row r="115" customFormat="false" ht="15" hidden="false" customHeight="false" outlineLevel="0" collapsed="false">
      <c r="A115" s="17"/>
      <c r="B115" s="16"/>
      <c r="C115" s="16"/>
      <c r="D115" s="16"/>
      <c r="E115" s="16"/>
    </row>
    <row r="116" customFormat="false" ht="15" hidden="false" customHeight="false" outlineLevel="0" collapsed="false">
      <c r="A116" s="17"/>
      <c r="B116" s="16"/>
      <c r="C116" s="16"/>
      <c r="D116" s="16"/>
      <c r="E116" s="16"/>
    </row>
    <row r="117" customFormat="false" ht="15" hidden="false" customHeight="false" outlineLevel="0" collapsed="false">
      <c r="A117" s="17"/>
      <c r="B117" s="16"/>
      <c r="C117" s="16"/>
      <c r="D117" s="16"/>
      <c r="E117" s="16"/>
    </row>
    <row r="118" customFormat="false" ht="15" hidden="false" customHeight="false" outlineLevel="0" collapsed="false">
      <c r="A118" s="17"/>
      <c r="B118" s="16"/>
      <c r="C118" s="16"/>
      <c r="D118" s="16"/>
      <c r="E118" s="16"/>
    </row>
    <row r="119" customFormat="false" ht="15" hidden="false" customHeight="false" outlineLevel="0" collapsed="false">
      <c r="A119" s="17"/>
      <c r="B119" s="16"/>
      <c r="C119" s="16"/>
      <c r="D119" s="16"/>
      <c r="E119" s="16"/>
    </row>
    <row r="120" customFormat="false" ht="15" hidden="false" customHeight="false" outlineLevel="0" collapsed="false">
      <c r="A120" s="17"/>
      <c r="B120" s="16"/>
      <c r="C120" s="16"/>
      <c r="D120" s="16"/>
      <c r="E120" s="16"/>
    </row>
    <row r="121" customFormat="false" ht="15" hidden="false" customHeight="false" outlineLevel="0" collapsed="false">
      <c r="A121" s="17"/>
      <c r="B121" s="16"/>
      <c r="C121" s="16"/>
      <c r="D121" s="16"/>
      <c r="E121" s="16"/>
    </row>
    <row r="122" customFormat="false" ht="15" hidden="false" customHeight="false" outlineLevel="0" collapsed="false">
      <c r="A122" s="17"/>
      <c r="B122" s="16"/>
      <c r="C122" s="16"/>
      <c r="D122" s="16"/>
      <c r="E122" s="16"/>
    </row>
    <row r="123" customFormat="false" ht="15" hidden="false" customHeight="false" outlineLevel="0" collapsed="false">
      <c r="A123" s="17"/>
      <c r="B123" s="16"/>
      <c r="C123" s="16"/>
      <c r="D123" s="16"/>
      <c r="E123" s="16"/>
    </row>
    <row r="124" customFormat="false" ht="15" hidden="false" customHeight="false" outlineLevel="0" collapsed="false">
      <c r="A124" s="17"/>
      <c r="B124" s="16"/>
      <c r="C124" s="16"/>
      <c r="D124" s="16"/>
      <c r="E124" s="16"/>
    </row>
    <row r="125" customFormat="false" ht="15" hidden="false" customHeight="false" outlineLevel="0" collapsed="false">
      <c r="A125" s="17"/>
      <c r="B125" s="16"/>
      <c r="C125" s="16"/>
      <c r="D125" s="16"/>
      <c r="E125" s="16"/>
    </row>
    <row r="126" customFormat="false" ht="15" hidden="false" customHeight="false" outlineLevel="0" collapsed="false">
      <c r="A126" s="17"/>
      <c r="B126" s="16"/>
      <c r="C126" s="16"/>
      <c r="D126" s="16"/>
      <c r="E126" s="16"/>
    </row>
    <row r="127" customFormat="false" ht="15" hidden="false" customHeight="false" outlineLevel="0" collapsed="false">
      <c r="A127" s="17"/>
      <c r="B127" s="16"/>
      <c r="C127" s="16"/>
      <c r="D127" s="16"/>
      <c r="E127" s="16"/>
    </row>
    <row r="128" customFormat="false" ht="15" hidden="false" customHeight="false" outlineLevel="0" collapsed="false">
      <c r="A128" s="17"/>
      <c r="B128" s="16"/>
      <c r="C128" s="16"/>
      <c r="D128" s="16"/>
      <c r="E128" s="16"/>
    </row>
    <row r="129" customFormat="false" ht="15" hidden="false" customHeight="false" outlineLevel="0" collapsed="false">
      <c r="A129" s="17"/>
      <c r="B129" s="16"/>
      <c r="C129" s="16"/>
      <c r="D129" s="16"/>
      <c r="E129" s="16"/>
    </row>
    <row r="130" customFormat="false" ht="15" hidden="false" customHeight="false" outlineLevel="0" collapsed="false">
      <c r="A130" s="17"/>
      <c r="B130" s="16"/>
      <c r="C130" s="16"/>
      <c r="D130" s="16"/>
      <c r="E130" s="16"/>
    </row>
    <row r="131" customFormat="false" ht="15" hidden="false" customHeight="false" outlineLevel="0" collapsed="false">
      <c r="A131" s="17"/>
      <c r="B131" s="16"/>
      <c r="C131" s="16"/>
      <c r="D131" s="16"/>
      <c r="E131" s="16"/>
    </row>
    <row r="132" customFormat="false" ht="15" hidden="false" customHeight="false" outlineLevel="0" collapsed="false">
      <c r="A132" s="17"/>
      <c r="B132" s="16"/>
      <c r="C132" s="16"/>
      <c r="D132" s="16"/>
      <c r="E132" s="16"/>
    </row>
    <row r="133" customFormat="false" ht="15" hidden="false" customHeight="false" outlineLevel="0" collapsed="false">
      <c r="A133" s="17"/>
      <c r="B133" s="16"/>
      <c r="C133" s="16"/>
      <c r="D133" s="16"/>
      <c r="E133" s="16"/>
    </row>
    <row r="134" customFormat="false" ht="15" hidden="false" customHeight="false" outlineLevel="0" collapsed="false">
      <c r="A134" s="17"/>
      <c r="B134" s="16"/>
      <c r="C134" s="16"/>
      <c r="D134" s="16"/>
      <c r="E134" s="16"/>
    </row>
    <row r="135" customFormat="false" ht="15" hidden="false" customHeight="false" outlineLevel="0" collapsed="false">
      <c r="A135" s="17"/>
      <c r="B135" s="16"/>
      <c r="C135" s="16"/>
      <c r="D135" s="16"/>
      <c r="E135" s="16"/>
    </row>
    <row r="136" customFormat="false" ht="15" hidden="false" customHeight="false" outlineLevel="0" collapsed="false">
      <c r="A136" s="17"/>
      <c r="B136" s="16"/>
      <c r="C136" s="16"/>
      <c r="D136" s="16"/>
      <c r="E136" s="16"/>
    </row>
    <row r="137" customFormat="false" ht="15" hidden="false" customHeight="false" outlineLevel="0" collapsed="false">
      <c r="A137" s="17"/>
      <c r="B137" s="16"/>
      <c r="C137" s="16"/>
      <c r="D137" s="16"/>
      <c r="E137" s="16"/>
    </row>
    <row r="138" customFormat="false" ht="15" hidden="false" customHeight="false" outlineLevel="0" collapsed="false">
      <c r="A138" s="17"/>
      <c r="B138" s="16"/>
      <c r="C138" s="16"/>
      <c r="D138" s="16"/>
      <c r="E138" s="16"/>
    </row>
    <row r="139" customFormat="false" ht="15" hidden="false" customHeight="false" outlineLevel="0" collapsed="false">
      <c r="A139" s="17"/>
      <c r="B139" s="16"/>
      <c r="C139" s="16"/>
      <c r="D139" s="16"/>
      <c r="E139" s="16"/>
    </row>
    <row r="140" customFormat="false" ht="15" hidden="false" customHeight="false" outlineLevel="0" collapsed="false">
      <c r="A140" s="17"/>
      <c r="B140" s="16"/>
      <c r="C140" s="16"/>
      <c r="D140" s="16"/>
      <c r="E140" s="16"/>
    </row>
    <row r="141" customFormat="false" ht="15" hidden="false" customHeight="false" outlineLevel="0" collapsed="false">
      <c r="A141" s="17"/>
      <c r="B141" s="16"/>
      <c r="C141" s="16"/>
      <c r="D141" s="16"/>
      <c r="E141" s="16"/>
    </row>
    <row r="142" customFormat="false" ht="15" hidden="false" customHeight="false" outlineLevel="0" collapsed="false">
      <c r="A142" s="17"/>
      <c r="B142" s="16"/>
      <c r="C142" s="16"/>
      <c r="D142" s="16"/>
      <c r="E142" s="16"/>
    </row>
    <row r="143" customFormat="false" ht="15" hidden="false" customHeight="false" outlineLevel="0" collapsed="false">
      <c r="A143" s="17"/>
      <c r="B143" s="16"/>
      <c r="C143" s="16"/>
      <c r="D143" s="16"/>
      <c r="E143" s="16"/>
    </row>
    <row r="144" customFormat="false" ht="15" hidden="false" customHeight="false" outlineLevel="0" collapsed="false">
      <c r="A144" s="17"/>
      <c r="B144" s="16"/>
      <c r="C144" s="16"/>
      <c r="D144" s="16"/>
      <c r="E144" s="16"/>
    </row>
    <row r="145" customFormat="false" ht="15" hidden="false" customHeight="false" outlineLevel="0" collapsed="false">
      <c r="A145" s="17"/>
      <c r="B145" s="16"/>
      <c r="C145" s="16"/>
      <c r="D145" s="16"/>
      <c r="E145" s="16"/>
    </row>
    <row r="146" customFormat="false" ht="15" hidden="false" customHeight="false" outlineLevel="0" collapsed="false">
      <c r="A146" s="17"/>
      <c r="B146" s="16"/>
      <c r="C146" s="16"/>
      <c r="D146" s="16"/>
      <c r="E146" s="16"/>
    </row>
    <row r="147" customFormat="false" ht="15" hidden="false" customHeight="false" outlineLevel="0" collapsed="false">
      <c r="A147" s="17"/>
      <c r="B147" s="16"/>
      <c r="C147" s="16"/>
      <c r="D147" s="16"/>
      <c r="E147" s="16"/>
    </row>
    <row r="148" customFormat="false" ht="15" hidden="false" customHeight="false" outlineLevel="0" collapsed="false">
      <c r="A148" s="17"/>
      <c r="B148" s="16"/>
      <c r="C148" s="16"/>
      <c r="D148" s="16"/>
      <c r="E148" s="16"/>
    </row>
    <row r="149" customFormat="false" ht="15" hidden="false" customHeight="false" outlineLevel="0" collapsed="false">
      <c r="A149" s="17"/>
      <c r="B149" s="16"/>
      <c r="C149" s="16"/>
      <c r="D149" s="16"/>
      <c r="E149" s="16"/>
    </row>
    <row r="150" customFormat="false" ht="15" hidden="false" customHeight="false" outlineLevel="0" collapsed="false">
      <c r="A150" s="17"/>
      <c r="B150" s="16"/>
      <c r="C150" s="16"/>
      <c r="D150" s="16"/>
      <c r="E150" s="16"/>
    </row>
    <row r="151" customFormat="false" ht="15" hidden="false" customHeight="false" outlineLevel="0" collapsed="false">
      <c r="A151" s="17"/>
      <c r="B151" s="16"/>
      <c r="C151" s="16"/>
      <c r="D151" s="16"/>
      <c r="E151" s="16"/>
    </row>
    <row r="152" customFormat="false" ht="15" hidden="false" customHeight="false" outlineLevel="0" collapsed="false">
      <c r="A152" s="17"/>
      <c r="B152" s="16"/>
      <c r="C152" s="16"/>
      <c r="D152" s="16"/>
      <c r="E152" s="16"/>
    </row>
    <row r="153" customFormat="false" ht="15" hidden="false" customHeight="false" outlineLevel="0" collapsed="false">
      <c r="A153" s="17"/>
      <c r="B153" s="16"/>
      <c r="C153" s="16"/>
      <c r="D153" s="16"/>
      <c r="E153" s="16"/>
    </row>
    <row r="154" customFormat="false" ht="15" hidden="false" customHeight="false" outlineLevel="0" collapsed="false">
      <c r="A154" s="17"/>
      <c r="B154" s="16"/>
      <c r="C154" s="16"/>
      <c r="D154" s="16"/>
      <c r="E154" s="16"/>
    </row>
    <row r="155" customFormat="false" ht="15" hidden="false" customHeight="false" outlineLevel="0" collapsed="false">
      <c r="A155" s="17"/>
      <c r="B155" s="16"/>
      <c r="C155" s="16"/>
      <c r="D155" s="16"/>
      <c r="E155" s="16"/>
    </row>
    <row r="156" customFormat="false" ht="15" hidden="false" customHeight="false" outlineLevel="0" collapsed="false">
      <c r="A156" s="17"/>
      <c r="B156" s="16"/>
      <c r="C156" s="16"/>
      <c r="D156" s="16"/>
      <c r="E156" s="16"/>
    </row>
    <row r="157" customFormat="false" ht="15" hidden="false" customHeight="false" outlineLevel="0" collapsed="false">
      <c r="A157" s="17"/>
      <c r="B157" s="16"/>
      <c r="C157" s="16"/>
      <c r="D157" s="16"/>
      <c r="E157" s="16"/>
    </row>
    <row r="158" customFormat="false" ht="15" hidden="false" customHeight="false" outlineLevel="0" collapsed="false">
      <c r="A158" s="17"/>
      <c r="B158" s="16"/>
      <c r="C158" s="16"/>
      <c r="D158" s="16"/>
      <c r="E158" s="16"/>
    </row>
    <row r="159" customFormat="false" ht="15" hidden="false" customHeight="false" outlineLevel="0" collapsed="false">
      <c r="A159" s="17"/>
      <c r="B159" s="16"/>
      <c r="C159" s="16"/>
      <c r="D159" s="16"/>
      <c r="E159" s="16"/>
    </row>
    <row r="160" customFormat="false" ht="15" hidden="false" customHeight="false" outlineLevel="0" collapsed="false">
      <c r="A160" s="17"/>
      <c r="B160" s="16"/>
      <c r="C160" s="16"/>
      <c r="D160" s="16"/>
      <c r="E160" s="16"/>
    </row>
    <row r="161" customFormat="false" ht="15" hidden="false" customHeight="false" outlineLevel="0" collapsed="false">
      <c r="A161" s="17"/>
      <c r="B161" s="16"/>
      <c r="C161" s="16"/>
      <c r="D161" s="16"/>
      <c r="E161" s="16"/>
    </row>
    <row r="162" customFormat="false" ht="15" hidden="false" customHeight="false" outlineLevel="0" collapsed="false">
      <c r="A162" s="17"/>
      <c r="B162" s="16"/>
      <c r="C162" s="16"/>
      <c r="D162" s="16"/>
      <c r="E162" s="16"/>
    </row>
    <row r="163" customFormat="false" ht="15" hidden="false" customHeight="false" outlineLevel="0" collapsed="false">
      <c r="A163" s="17"/>
      <c r="B163" s="16"/>
      <c r="C163" s="16"/>
      <c r="D163" s="16"/>
      <c r="E163" s="16"/>
    </row>
    <row r="164" customFormat="false" ht="15" hidden="false" customHeight="false" outlineLevel="0" collapsed="false">
      <c r="A164" s="17"/>
      <c r="B164" s="16"/>
      <c r="C164" s="16"/>
      <c r="D164" s="16"/>
      <c r="E164" s="16"/>
    </row>
    <row r="165" customFormat="false" ht="15" hidden="false" customHeight="false" outlineLevel="0" collapsed="false">
      <c r="A165" s="17"/>
      <c r="B165" s="16"/>
      <c r="C165" s="16"/>
      <c r="D165" s="16"/>
      <c r="E165" s="16"/>
    </row>
    <row r="166" customFormat="false" ht="15" hidden="false" customHeight="false" outlineLevel="0" collapsed="false">
      <c r="A166" s="17"/>
      <c r="B166" s="16"/>
      <c r="C166" s="16"/>
      <c r="D166" s="16"/>
      <c r="E166" s="16"/>
    </row>
    <row r="167" customFormat="false" ht="15" hidden="false" customHeight="false" outlineLevel="0" collapsed="false">
      <c r="A167" s="17"/>
      <c r="B167" s="16"/>
      <c r="C167" s="16"/>
      <c r="D167" s="16"/>
      <c r="E167" s="16"/>
    </row>
    <row r="168" customFormat="false" ht="15" hidden="false" customHeight="false" outlineLevel="0" collapsed="false">
      <c r="A168" s="17"/>
      <c r="B168" s="16"/>
      <c r="C168" s="16"/>
      <c r="D168" s="16"/>
      <c r="E168" s="16"/>
    </row>
    <row r="169" customFormat="false" ht="15" hidden="false" customHeight="false" outlineLevel="0" collapsed="false">
      <c r="A169" s="17"/>
      <c r="B169" s="16"/>
      <c r="C169" s="16"/>
      <c r="D169" s="16"/>
      <c r="E169" s="16"/>
    </row>
    <row r="170" customFormat="false" ht="15" hidden="false" customHeight="false" outlineLevel="0" collapsed="false">
      <c r="A170" s="17"/>
      <c r="B170" s="16"/>
      <c r="C170" s="16"/>
      <c r="D170" s="16"/>
      <c r="E170" s="16"/>
    </row>
    <row r="171" customFormat="false" ht="15" hidden="false" customHeight="false" outlineLevel="0" collapsed="false">
      <c r="A171" s="17"/>
      <c r="B171" s="16"/>
      <c r="C171" s="16"/>
      <c r="D171" s="16"/>
      <c r="E171" s="16"/>
    </row>
    <row r="172" customFormat="false" ht="15" hidden="false" customHeight="false" outlineLevel="0" collapsed="false">
      <c r="A172" s="17"/>
      <c r="B172" s="16"/>
      <c r="C172" s="16"/>
      <c r="D172" s="16"/>
      <c r="E172" s="16"/>
    </row>
    <row r="173" customFormat="false" ht="15" hidden="false" customHeight="false" outlineLevel="0" collapsed="false">
      <c r="A173" s="17"/>
      <c r="B173" s="16"/>
      <c r="C173" s="16"/>
      <c r="D173" s="16"/>
      <c r="E173" s="16"/>
    </row>
    <row r="174" customFormat="false" ht="15" hidden="false" customHeight="false" outlineLevel="0" collapsed="false">
      <c r="A174" s="17"/>
      <c r="B174" s="16"/>
      <c r="C174" s="16"/>
      <c r="D174" s="16"/>
      <c r="E174" s="16"/>
    </row>
    <row r="175" customFormat="false" ht="15" hidden="false" customHeight="false" outlineLevel="0" collapsed="false">
      <c r="A175" s="17"/>
      <c r="B175" s="16"/>
      <c r="C175" s="16"/>
      <c r="D175" s="16"/>
      <c r="E175" s="16"/>
    </row>
    <row r="176" customFormat="false" ht="15" hidden="false" customHeight="false" outlineLevel="0" collapsed="false">
      <c r="A176" s="17"/>
      <c r="B176" s="16"/>
      <c r="C176" s="16"/>
      <c r="D176" s="16"/>
      <c r="E176" s="16"/>
    </row>
    <row r="177" customFormat="false" ht="15" hidden="false" customHeight="false" outlineLevel="0" collapsed="false">
      <c r="A177" s="17"/>
      <c r="B177" s="16"/>
      <c r="C177" s="16"/>
      <c r="D177" s="16"/>
      <c r="E177" s="16"/>
    </row>
    <row r="178" customFormat="false" ht="15" hidden="false" customHeight="false" outlineLevel="0" collapsed="false">
      <c r="A178" s="17"/>
      <c r="B178" s="16"/>
      <c r="C178" s="16"/>
      <c r="D178" s="16"/>
      <c r="E178" s="16"/>
    </row>
    <row r="179" customFormat="false" ht="15" hidden="false" customHeight="false" outlineLevel="0" collapsed="false">
      <c r="A179" s="17"/>
      <c r="B179" s="16"/>
      <c r="C179" s="16"/>
      <c r="D179" s="16"/>
      <c r="E179" s="16"/>
    </row>
    <row r="180" customFormat="false" ht="15" hidden="false" customHeight="false" outlineLevel="0" collapsed="false">
      <c r="A180" s="17"/>
      <c r="B180" s="16"/>
      <c r="C180" s="16"/>
      <c r="D180" s="16"/>
      <c r="E180" s="16"/>
    </row>
    <row r="181" customFormat="false" ht="15" hidden="false" customHeight="false" outlineLevel="0" collapsed="false">
      <c r="A181" s="17"/>
      <c r="B181" s="16"/>
      <c r="C181" s="16"/>
      <c r="D181" s="16"/>
      <c r="E181" s="16"/>
    </row>
    <row r="182" customFormat="false" ht="15" hidden="false" customHeight="false" outlineLevel="0" collapsed="false">
      <c r="A182" s="17"/>
      <c r="B182" s="16"/>
      <c r="C182" s="16"/>
      <c r="D182" s="16"/>
      <c r="E182" s="16"/>
    </row>
    <row r="183" customFormat="false" ht="15" hidden="false" customHeight="false" outlineLevel="0" collapsed="false">
      <c r="A183" s="17"/>
      <c r="B183" s="16"/>
      <c r="C183" s="16"/>
      <c r="D183" s="16"/>
      <c r="E183" s="16"/>
    </row>
    <row r="184" customFormat="false" ht="15" hidden="false" customHeight="false" outlineLevel="0" collapsed="false">
      <c r="A184" s="17"/>
      <c r="B184" s="16"/>
      <c r="C184" s="16"/>
      <c r="D184" s="16"/>
      <c r="E184" s="16"/>
    </row>
    <row r="185" customFormat="false" ht="15" hidden="false" customHeight="false" outlineLevel="0" collapsed="false">
      <c r="A185" s="17"/>
      <c r="B185" s="16"/>
      <c r="C185" s="16"/>
      <c r="D185" s="16"/>
      <c r="E185" s="16"/>
    </row>
    <row r="186" customFormat="false" ht="15" hidden="false" customHeight="false" outlineLevel="0" collapsed="false">
      <c r="A186" s="17"/>
      <c r="B186" s="16"/>
      <c r="C186" s="16"/>
      <c r="D186" s="16"/>
      <c r="E186" s="16"/>
    </row>
    <row r="187" customFormat="false" ht="15" hidden="false" customHeight="false" outlineLevel="0" collapsed="false">
      <c r="A187" s="17"/>
      <c r="B187" s="16"/>
      <c r="C187" s="16"/>
      <c r="D187" s="16"/>
      <c r="E187" s="16"/>
    </row>
    <row r="188" customFormat="false" ht="15" hidden="false" customHeight="false" outlineLevel="0" collapsed="false">
      <c r="A188" s="17"/>
      <c r="B188" s="16"/>
      <c r="C188" s="16"/>
      <c r="D188" s="16"/>
      <c r="E188" s="16"/>
    </row>
    <row r="189" customFormat="false" ht="15" hidden="false" customHeight="false" outlineLevel="0" collapsed="false">
      <c r="A189" s="17"/>
      <c r="B189" s="16"/>
      <c r="C189" s="16"/>
      <c r="D189" s="16"/>
      <c r="E189" s="16"/>
    </row>
    <row r="190" customFormat="false" ht="15" hidden="false" customHeight="false" outlineLevel="0" collapsed="false">
      <c r="A190" s="17"/>
      <c r="B190" s="16"/>
      <c r="C190" s="16"/>
      <c r="D190" s="16"/>
      <c r="E190" s="16"/>
    </row>
    <row r="191" customFormat="false" ht="15" hidden="false" customHeight="false" outlineLevel="0" collapsed="false">
      <c r="A191" s="17"/>
      <c r="B191" s="16"/>
      <c r="C191" s="16"/>
      <c r="D191" s="16"/>
      <c r="E191" s="16"/>
    </row>
    <row r="192" customFormat="false" ht="15" hidden="false" customHeight="false" outlineLevel="0" collapsed="false">
      <c r="A192" s="17"/>
      <c r="B192" s="16"/>
      <c r="C192" s="16"/>
      <c r="D192" s="16"/>
      <c r="E192" s="16"/>
    </row>
    <row r="193" customFormat="false" ht="15" hidden="false" customHeight="false" outlineLevel="0" collapsed="false">
      <c r="A193" s="17"/>
      <c r="B193" s="16"/>
      <c r="C193" s="16"/>
      <c r="D193" s="16"/>
      <c r="E193" s="16"/>
    </row>
    <row r="194" customFormat="false" ht="15" hidden="false" customHeight="false" outlineLevel="0" collapsed="false">
      <c r="A194" s="17"/>
      <c r="B194" s="16"/>
      <c r="C194" s="16"/>
      <c r="D194" s="16"/>
      <c r="E194" s="16"/>
    </row>
    <row r="195" customFormat="false" ht="15" hidden="false" customHeight="false" outlineLevel="0" collapsed="false">
      <c r="A195" s="17"/>
      <c r="B195" s="16"/>
      <c r="C195" s="16"/>
      <c r="D195" s="16"/>
      <c r="E195" s="16"/>
    </row>
    <row r="196" customFormat="false" ht="15" hidden="false" customHeight="false" outlineLevel="0" collapsed="false">
      <c r="A196" s="17"/>
      <c r="B196" s="16"/>
      <c r="C196" s="16"/>
      <c r="D196" s="16"/>
      <c r="E196" s="16"/>
    </row>
    <row r="197" customFormat="false" ht="15" hidden="false" customHeight="false" outlineLevel="0" collapsed="false">
      <c r="A197" s="17"/>
      <c r="B197" s="16"/>
      <c r="C197" s="16"/>
      <c r="D197" s="16"/>
      <c r="E197" s="16"/>
    </row>
    <row r="198" customFormat="false" ht="15" hidden="false" customHeight="false" outlineLevel="0" collapsed="false">
      <c r="A198" s="17"/>
      <c r="B198" s="16"/>
      <c r="C198" s="16"/>
      <c r="D198" s="16"/>
      <c r="E198" s="16"/>
    </row>
    <row r="199" customFormat="false" ht="15" hidden="false" customHeight="false" outlineLevel="0" collapsed="false">
      <c r="A199" s="17"/>
      <c r="B199" s="16"/>
      <c r="C199" s="16"/>
      <c r="D199" s="16"/>
      <c r="E199" s="16"/>
    </row>
    <row r="200" customFormat="false" ht="15" hidden="false" customHeight="false" outlineLevel="0" collapsed="false">
      <c r="A200" s="17"/>
      <c r="B200" s="16"/>
      <c r="C200" s="16"/>
      <c r="D200" s="16"/>
      <c r="E200" s="16"/>
    </row>
    <row r="201" customFormat="false" ht="15" hidden="false" customHeight="false" outlineLevel="0" collapsed="false">
      <c r="A201" s="17"/>
      <c r="B201" s="16"/>
      <c r="C201" s="16"/>
      <c r="D201" s="16"/>
      <c r="E201" s="16"/>
    </row>
    <row r="202" customFormat="false" ht="15" hidden="false" customHeight="false" outlineLevel="0" collapsed="false">
      <c r="A202" s="17"/>
      <c r="B202" s="16"/>
      <c r="C202" s="16"/>
      <c r="D202" s="16"/>
      <c r="E202" s="16"/>
    </row>
    <row r="203" customFormat="false" ht="15" hidden="false" customHeight="false" outlineLevel="0" collapsed="false">
      <c r="A203" s="17"/>
      <c r="B203" s="16"/>
      <c r="C203" s="16"/>
      <c r="D203" s="16"/>
      <c r="E203" s="16"/>
    </row>
  </sheetData>
  <sheetProtection sheet="true" formatCells="false" formatColumns="false" formatRows="false" sort="false" autoFilter="false"/>
  <mergeCells count="2">
    <mergeCell ref="A1:E1"/>
    <mergeCell ref="A2:E2"/>
  </mergeCells>
  <conditionalFormatting sqref="D4:D203">
    <cfRule type="cellIs" priority="2" operator="equal" aboveAverage="0" equalAverage="0" bottom="0" percent="0" rank="0" text="" dxfId="3">
      <formula>"En attente"</formula>
    </cfRule>
  </conditionalFormatting>
  <dataValidations count="2">
    <dataValidation allowBlank="true" errorStyle="stop" operator="between" showDropDown="false" showErrorMessage="false" showInputMessage="false" sqref="B4:B203" type="list">
      <formula1>Paramètres!$A$9:$A$18</formula1>
      <formula2>0</formula2>
    </dataValidation>
    <dataValidation allowBlank="true" errorStyle="stop" operator="between" showDropDown="false" showErrorMessage="false" showInputMessage="false" sqref="D4:D203" type="list">
      <formula1>Paramètres!$I$9:$I$10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77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6" t="s">
        <v>65</v>
      </c>
      <c r="B3" s="6" t="s">
        <v>21</v>
      </c>
      <c r="C3" s="6" t="s">
        <v>67</v>
      </c>
      <c r="D3" s="6" t="s">
        <v>78</v>
      </c>
      <c r="E3" s="6" t="s">
        <v>42</v>
      </c>
      <c r="F3" s="6" t="s">
        <v>79</v>
      </c>
      <c r="G3" s="6" t="s">
        <v>80</v>
      </c>
    </row>
    <row r="4" customFormat="false" ht="15" hidden="false" customHeight="false" outlineLevel="0" collapsed="false">
      <c r="A4" s="17" t="n">
        <v>46215</v>
      </c>
      <c r="B4" s="16" t="s">
        <v>49</v>
      </c>
      <c r="C4" s="16" t="s">
        <v>81</v>
      </c>
      <c r="D4" s="16" t="s">
        <v>82</v>
      </c>
      <c r="E4" s="16" t="s">
        <v>83</v>
      </c>
      <c r="F4" s="19" t="n">
        <v>150</v>
      </c>
      <c r="G4" s="17"/>
    </row>
    <row r="5" customFormat="false" ht="15" hidden="false" customHeight="false" outlineLevel="0" collapsed="false">
      <c r="A5" s="17"/>
      <c r="B5" s="16"/>
      <c r="C5" s="16"/>
      <c r="D5" s="16"/>
      <c r="E5" s="16"/>
      <c r="F5" s="19"/>
      <c r="G5" s="17"/>
    </row>
    <row r="6" customFormat="false" ht="15" hidden="false" customHeight="false" outlineLevel="0" collapsed="false">
      <c r="A6" s="17"/>
      <c r="B6" s="16"/>
      <c r="C6" s="16"/>
      <c r="D6" s="16"/>
      <c r="E6" s="16"/>
      <c r="F6" s="19"/>
      <c r="G6" s="17"/>
    </row>
    <row r="7" customFormat="false" ht="15" hidden="false" customHeight="false" outlineLevel="0" collapsed="false">
      <c r="A7" s="17"/>
      <c r="B7" s="16"/>
      <c r="C7" s="16"/>
      <c r="D7" s="16"/>
      <c r="E7" s="16"/>
      <c r="F7" s="19"/>
      <c r="G7" s="17"/>
    </row>
    <row r="8" customFormat="false" ht="15" hidden="false" customHeight="false" outlineLevel="0" collapsed="false">
      <c r="A8" s="17"/>
      <c r="B8" s="16"/>
      <c r="C8" s="16"/>
      <c r="D8" s="16"/>
      <c r="E8" s="16"/>
      <c r="F8" s="19"/>
      <c r="G8" s="17"/>
    </row>
    <row r="9" customFormat="false" ht="15" hidden="false" customHeight="false" outlineLevel="0" collapsed="false">
      <c r="A9" s="17"/>
      <c r="B9" s="16"/>
      <c r="C9" s="16"/>
      <c r="D9" s="16"/>
      <c r="E9" s="16"/>
      <c r="F9" s="19"/>
      <c r="G9" s="17"/>
    </row>
    <row r="10" customFormat="false" ht="15" hidden="false" customHeight="false" outlineLevel="0" collapsed="false">
      <c r="A10" s="17"/>
      <c r="B10" s="16"/>
      <c r="C10" s="16"/>
      <c r="D10" s="16"/>
      <c r="E10" s="16"/>
      <c r="F10" s="19"/>
      <c r="G10" s="17"/>
    </row>
    <row r="11" customFormat="false" ht="15" hidden="false" customHeight="false" outlineLevel="0" collapsed="false">
      <c r="A11" s="17"/>
      <c r="B11" s="16"/>
      <c r="C11" s="16"/>
      <c r="D11" s="16"/>
      <c r="E11" s="16"/>
      <c r="F11" s="19"/>
      <c r="G11" s="17"/>
    </row>
    <row r="12" customFormat="false" ht="15" hidden="false" customHeight="false" outlineLevel="0" collapsed="false">
      <c r="A12" s="17"/>
      <c r="B12" s="16"/>
      <c r="C12" s="16"/>
      <c r="D12" s="16"/>
      <c r="E12" s="16"/>
      <c r="F12" s="19"/>
      <c r="G12" s="17"/>
    </row>
    <row r="13" customFormat="false" ht="15" hidden="false" customHeight="false" outlineLevel="0" collapsed="false">
      <c r="A13" s="17"/>
      <c r="B13" s="16"/>
      <c r="C13" s="16"/>
      <c r="D13" s="16"/>
      <c r="E13" s="16"/>
      <c r="F13" s="19"/>
      <c r="G13" s="17"/>
    </row>
    <row r="14" customFormat="false" ht="15" hidden="false" customHeight="false" outlineLevel="0" collapsed="false">
      <c r="A14" s="17"/>
      <c r="B14" s="16"/>
      <c r="C14" s="16"/>
      <c r="D14" s="16"/>
      <c r="E14" s="16"/>
      <c r="F14" s="19"/>
      <c r="G14" s="17"/>
    </row>
    <row r="15" customFormat="false" ht="15" hidden="false" customHeight="false" outlineLevel="0" collapsed="false">
      <c r="A15" s="17"/>
      <c r="B15" s="16"/>
      <c r="C15" s="16"/>
      <c r="D15" s="16"/>
      <c r="E15" s="16"/>
      <c r="F15" s="19"/>
      <c r="G15" s="17"/>
    </row>
    <row r="16" customFormat="false" ht="15" hidden="false" customHeight="false" outlineLevel="0" collapsed="false">
      <c r="A16" s="17"/>
      <c r="B16" s="16"/>
      <c r="C16" s="16"/>
      <c r="D16" s="16"/>
      <c r="E16" s="16"/>
      <c r="F16" s="19"/>
      <c r="G16" s="17"/>
    </row>
    <row r="17" customFormat="false" ht="15" hidden="false" customHeight="false" outlineLevel="0" collapsed="false">
      <c r="A17" s="17"/>
      <c r="B17" s="16"/>
      <c r="C17" s="16"/>
      <c r="D17" s="16"/>
      <c r="E17" s="16"/>
      <c r="F17" s="19"/>
      <c r="G17" s="17"/>
    </row>
    <row r="18" customFormat="false" ht="15" hidden="false" customHeight="false" outlineLevel="0" collapsed="false">
      <c r="A18" s="17"/>
      <c r="B18" s="16"/>
      <c r="C18" s="16"/>
      <c r="D18" s="16"/>
      <c r="E18" s="16"/>
      <c r="F18" s="19"/>
      <c r="G18" s="17"/>
    </row>
    <row r="19" customFormat="false" ht="15" hidden="false" customHeight="false" outlineLevel="0" collapsed="false">
      <c r="A19" s="17"/>
      <c r="B19" s="16"/>
      <c r="C19" s="16"/>
      <c r="D19" s="16"/>
      <c r="E19" s="16"/>
      <c r="F19" s="19"/>
      <c r="G19" s="17"/>
    </row>
    <row r="20" customFormat="false" ht="15" hidden="false" customHeight="false" outlineLevel="0" collapsed="false">
      <c r="A20" s="17"/>
      <c r="B20" s="16"/>
      <c r="C20" s="16"/>
      <c r="D20" s="16"/>
      <c r="E20" s="16"/>
      <c r="F20" s="19"/>
      <c r="G20" s="17"/>
    </row>
    <row r="21" customFormat="false" ht="15" hidden="false" customHeight="false" outlineLevel="0" collapsed="false">
      <c r="A21" s="17"/>
      <c r="B21" s="16"/>
      <c r="C21" s="16"/>
      <c r="D21" s="16"/>
      <c r="E21" s="16"/>
      <c r="F21" s="19"/>
      <c r="G21" s="17"/>
    </row>
    <row r="22" customFormat="false" ht="15" hidden="false" customHeight="false" outlineLevel="0" collapsed="false">
      <c r="A22" s="17"/>
      <c r="B22" s="16"/>
      <c r="C22" s="16"/>
      <c r="D22" s="16"/>
      <c r="E22" s="16"/>
      <c r="F22" s="19"/>
      <c r="G22" s="17"/>
    </row>
    <row r="23" customFormat="false" ht="15" hidden="false" customHeight="false" outlineLevel="0" collapsed="false">
      <c r="A23" s="17"/>
      <c r="B23" s="16"/>
      <c r="C23" s="16"/>
      <c r="D23" s="16"/>
      <c r="E23" s="16"/>
      <c r="F23" s="19"/>
      <c r="G23" s="17"/>
    </row>
    <row r="24" customFormat="false" ht="15" hidden="false" customHeight="false" outlineLevel="0" collapsed="false">
      <c r="A24" s="17"/>
      <c r="B24" s="16"/>
      <c r="C24" s="16"/>
      <c r="D24" s="16"/>
      <c r="E24" s="16"/>
      <c r="F24" s="19"/>
      <c r="G24" s="17"/>
    </row>
    <row r="25" customFormat="false" ht="15" hidden="false" customHeight="false" outlineLevel="0" collapsed="false">
      <c r="A25" s="17"/>
      <c r="B25" s="16"/>
      <c r="C25" s="16"/>
      <c r="D25" s="16"/>
      <c r="E25" s="16"/>
      <c r="F25" s="19"/>
      <c r="G25" s="17"/>
    </row>
    <row r="26" customFormat="false" ht="15" hidden="false" customHeight="false" outlineLevel="0" collapsed="false">
      <c r="A26" s="17"/>
      <c r="B26" s="16"/>
      <c r="C26" s="16"/>
      <c r="D26" s="16"/>
      <c r="E26" s="16"/>
      <c r="F26" s="19"/>
      <c r="G26" s="17"/>
    </row>
    <row r="27" customFormat="false" ht="15" hidden="false" customHeight="false" outlineLevel="0" collapsed="false">
      <c r="A27" s="17"/>
      <c r="B27" s="16"/>
      <c r="C27" s="16"/>
      <c r="D27" s="16"/>
      <c r="E27" s="16"/>
      <c r="F27" s="19"/>
      <c r="G27" s="17"/>
    </row>
    <row r="28" customFormat="false" ht="15" hidden="false" customHeight="false" outlineLevel="0" collapsed="false">
      <c r="A28" s="17"/>
      <c r="B28" s="16"/>
      <c r="C28" s="16"/>
      <c r="D28" s="16"/>
      <c r="E28" s="16"/>
      <c r="F28" s="19"/>
      <c r="G28" s="17"/>
    </row>
    <row r="29" customFormat="false" ht="15" hidden="false" customHeight="false" outlineLevel="0" collapsed="false">
      <c r="A29" s="17"/>
      <c r="B29" s="16"/>
      <c r="C29" s="16"/>
      <c r="D29" s="16"/>
      <c r="E29" s="16"/>
      <c r="F29" s="19"/>
      <c r="G29" s="17"/>
    </row>
    <row r="30" customFormat="false" ht="15" hidden="false" customHeight="false" outlineLevel="0" collapsed="false">
      <c r="A30" s="17"/>
      <c r="B30" s="16"/>
      <c r="C30" s="16"/>
      <c r="D30" s="16"/>
      <c r="E30" s="16"/>
      <c r="F30" s="19"/>
      <c r="G30" s="17"/>
    </row>
    <row r="31" customFormat="false" ht="15" hidden="false" customHeight="false" outlineLevel="0" collapsed="false">
      <c r="A31" s="17"/>
      <c r="B31" s="16"/>
      <c r="C31" s="16"/>
      <c r="D31" s="16"/>
      <c r="E31" s="16"/>
      <c r="F31" s="19"/>
      <c r="G31" s="17"/>
    </row>
    <row r="32" customFormat="false" ht="15" hidden="false" customHeight="false" outlineLevel="0" collapsed="false">
      <c r="A32" s="17"/>
      <c r="B32" s="16"/>
      <c r="C32" s="16"/>
      <c r="D32" s="16"/>
      <c r="E32" s="16"/>
      <c r="F32" s="19"/>
      <c r="G32" s="17"/>
    </row>
    <row r="33" customFormat="false" ht="15" hidden="false" customHeight="false" outlineLevel="0" collapsed="false">
      <c r="A33" s="17"/>
      <c r="B33" s="16"/>
      <c r="C33" s="16"/>
      <c r="D33" s="16"/>
      <c r="E33" s="16"/>
      <c r="F33" s="19"/>
      <c r="G33" s="17"/>
    </row>
    <row r="34" customFormat="false" ht="15" hidden="false" customHeight="false" outlineLevel="0" collapsed="false">
      <c r="A34" s="17"/>
      <c r="B34" s="16"/>
      <c r="C34" s="16"/>
      <c r="D34" s="16"/>
      <c r="E34" s="16"/>
      <c r="F34" s="19"/>
      <c r="G34" s="17"/>
    </row>
    <row r="35" customFormat="false" ht="15" hidden="false" customHeight="false" outlineLevel="0" collapsed="false">
      <c r="A35" s="17"/>
      <c r="B35" s="16"/>
      <c r="C35" s="16"/>
      <c r="D35" s="16"/>
      <c r="E35" s="16"/>
      <c r="F35" s="19"/>
      <c r="G35" s="17"/>
    </row>
    <row r="36" customFormat="false" ht="15" hidden="false" customHeight="false" outlineLevel="0" collapsed="false">
      <c r="A36" s="17"/>
      <c r="B36" s="16"/>
      <c r="C36" s="16"/>
      <c r="D36" s="16"/>
      <c r="E36" s="16"/>
      <c r="F36" s="19"/>
      <c r="G36" s="17"/>
    </row>
    <row r="37" customFormat="false" ht="15" hidden="false" customHeight="false" outlineLevel="0" collapsed="false">
      <c r="A37" s="17"/>
      <c r="B37" s="16"/>
      <c r="C37" s="16"/>
      <c r="D37" s="16"/>
      <c r="E37" s="16"/>
      <c r="F37" s="19"/>
      <c r="G37" s="17"/>
    </row>
    <row r="38" customFormat="false" ht="15" hidden="false" customHeight="false" outlineLevel="0" collapsed="false">
      <c r="A38" s="17"/>
      <c r="B38" s="16"/>
      <c r="C38" s="16"/>
      <c r="D38" s="16"/>
      <c r="E38" s="16"/>
      <c r="F38" s="19"/>
      <c r="G38" s="17"/>
    </row>
    <row r="39" customFormat="false" ht="15" hidden="false" customHeight="false" outlineLevel="0" collapsed="false">
      <c r="A39" s="17"/>
      <c r="B39" s="16"/>
      <c r="C39" s="16"/>
      <c r="D39" s="16"/>
      <c r="E39" s="16"/>
      <c r="F39" s="19"/>
      <c r="G39" s="17"/>
    </row>
    <row r="40" customFormat="false" ht="15" hidden="false" customHeight="false" outlineLevel="0" collapsed="false">
      <c r="A40" s="17"/>
      <c r="B40" s="16"/>
      <c r="C40" s="16"/>
      <c r="D40" s="16"/>
      <c r="E40" s="16"/>
      <c r="F40" s="19"/>
      <c r="G40" s="17"/>
    </row>
    <row r="41" customFormat="false" ht="15" hidden="false" customHeight="false" outlineLevel="0" collapsed="false">
      <c r="A41" s="17"/>
      <c r="B41" s="16"/>
      <c r="C41" s="16"/>
      <c r="D41" s="16"/>
      <c r="E41" s="16"/>
      <c r="F41" s="19"/>
      <c r="G41" s="17"/>
    </row>
    <row r="42" customFormat="false" ht="15" hidden="false" customHeight="false" outlineLevel="0" collapsed="false">
      <c r="A42" s="17"/>
      <c r="B42" s="16"/>
      <c r="C42" s="16"/>
      <c r="D42" s="16"/>
      <c r="E42" s="16"/>
      <c r="F42" s="19"/>
      <c r="G42" s="17"/>
    </row>
    <row r="43" customFormat="false" ht="15" hidden="false" customHeight="false" outlineLevel="0" collapsed="false">
      <c r="A43" s="17"/>
      <c r="B43" s="16"/>
      <c r="C43" s="16"/>
      <c r="D43" s="16"/>
      <c r="E43" s="16"/>
      <c r="F43" s="19"/>
      <c r="G43" s="17"/>
    </row>
    <row r="44" customFormat="false" ht="15" hidden="false" customHeight="false" outlineLevel="0" collapsed="false">
      <c r="A44" s="17"/>
      <c r="B44" s="16"/>
      <c r="C44" s="16"/>
      <c r="D44" s="16"/>
      <c r="E44" s="16"/>
      <c r="F44" s="19"/>
      <c r="G44" s="17"/>
    </row>
    <row r="45" customFormat="false" ht="15" hidden="false" customHeight="false" outlineLevel="0" collapsed="false">
      <c r="A45" s="17"/>
      <c r="B45" s="16"/>
      <c r="C45" s="16"/>
      <c r="D45" s="16"/>
      <c r="E45" s="16"/>
      <c r="F45" s="19"/>
      <c r="G45" s="17"/>
    </row>
    <row r="46" customFormat="false" ht="15" hidden="false" customHeight="false" outlineLevel="0" collapsed="false">
      <c r="A46" s="17"/>
      <c r="B46" s="16"/>
      <c r="C46" s="16"/>
      <c r="D46" s="16"/>
      <c r="E46" s="16"/>
      <c r="F46" s="19"/>
      <c r="G46" s="17"/>
    </row>
    <row r="47" customFormat="false" ht="15" hidden="false" customHeight="false" outlineLevel="0" collapsed="false">
      <c r="A47" s="17"/>
      <c r="B47" s="16"/>
      <c r="C47" s="16"/>
      <c r="D47" s="16"/>
      <c r="E47" s="16"/>
      <c r="F47" s="19"/>
      <c r="G47" s="17"/>
    </row>
    <row r="48" customFormat="false" ht="15" hidden="false" customHeight="false" outlineLevel="0" collapsed="false">
      <c r="A48" s="17"/>
      <c r="B48" s="16"/>
      <c r="C48" s="16"/>
      <c r="D48" s="16"/>
      <c r="E48" s="16"/>
      <c r="F48" s="19"/>
      <c r="G48" s="17"/>
    </row>
    <row r="49" customFormat="false" ht="15" hidden="false" customHeight="false" outlineLevel="0" collapsed="false">
      <c r="A49" s="17"/>
      <c r="B49" s="16"/>
      <c r="C49" s="16"/>
      <c r="D49" s="16"/>
      <c r="E49" s="16"/>
      <c r="F49" s="19"/>
      <c r="G49" s="17"/>
    </row>
    <row r="50" customFormat="false" ht="15" hidden="false" customHeight="false" outlineLevel="0" collapsed="false">
      <c r="A50" s="17"/>
      <c r="B50" s="16"/>
      <c r="C50" s="16"/>
      <c r="D50" s="16"/>
      <c r="E50" s="16"/>
      <c r="F50" s="19"/>
      <c r="G50" s="17"/>
    </row>
    <row r="51" customFormat="false" ht="15" hidden="false" customHeight="false" outlineLevel="0" collapsed="false">
      <c r="A51" s="17"/>
      <c r="B51" s="16"/>
      <c r="C51" s="16"/>
      <c r="D51" s="16"/>
      <c r="E51" s="16"/>
      <c r="F51" s="19"/>
      <c r="G51" s="17"/>
    </row>
    <row r="52" customFormat="false" ht="15" hidden="false" customHeight="false" outlineLevel="0" collapsed="false">
      <c r="A52" s="17"/>
      <c r="B52" s="16"/>
      <c r="C52" s="16"/>
      <c r="D52" s="16"/>
      <c r="E52" s="16"/>
      <c r="F52" s="19"/>
      <c r="G52" s="17"/>
    </row>
    <row r="53" customFormat="false" ht="15" hidden="false" customHeight="false" outlineLevel="0" collapsed="false">
      <c r="A53" s="17"/>
      <c r="B53" s="16"/>
      <c r="C53" s="16"/>
      <c r="D53" s="16"/>
      <c r="E53" s="16"/>
      <c r="F53" s="19"/>
      <c r="G53" s="17"/>
    </row>
    <row r="54" customFormat="false" ht="15" hidden="false" customHeight="false" outlineLevel="0" collapsed="false">
      <c r="A54" s="17"/>
      <c r="B54" s="16"/>
      <c r="C54" s="16"/>
      <c r="D54" s="16"/>
      <c r="E54" s="16"/>
      <c r="F54" s="19"/>
      <c r="G54" s="17"/>
    </row>
    <row r="55" customFormat="false" ht="15" hidden="false" customHeight="false" outlineLevel="0" collapsed="false">
      <c r="A55" s="17"/>
      <c r="B55" s="16"/>
      <c r="C55" s="16"/>
      <c r="D55" s="16"/>
      <c r="E55" s="16"/>
      <c r="F55" s="19"/>
      <c r="G55" s="17"/>
    </row>
    <row r="56" customFormat="false" ht="15" hidden="false" customHeight="false" outlineLevel="0" collapsed="false">
      <c r="A56" s="17"/>
      <c r="B56" s="16"/>
      <c r="C56" s="16"/>
      <c r="D56" s="16"/>
      <c r="E56" s="16"/>
      <c r="F56" s="19"/>
      <c r="G56" s="17"/>
    </row>
    <row r="57" customFormat="false" ht="15" hidden="false" customHeight="false" outlineLevel="0" collapsed="false">
      <c r="A57" s="17"/>
      <c r="B57" s="16"/>
      <c r="C57" s="16"/>
      <c r="D57" s="16"/>
      <c r="E57" s="16"/>
      <c r="F57" s="19"/>
      <c r="G57" s="17"/>
    </row>
    <row r="58" customFormat="false" ht="15" hidden="false" customHeight="false" outlineLevel="0" collapsed="false">
      <c r="A58" s="17"/>
      <c r="B58" s="16"/>
      <c r="C58" s="16"/>
      <c r="D58" s="16"/>
      <c r="E58" s="16"/>
      <c r="F58" s="19"/>
      <c r="G58" s="17"/>
    </row>
    <row r="59" customFormat="false" ht="15" hidden="false" customHeight="false" outlineLevel="0" collapsed="false">
      <c r="A59" s="17"/>
      <c r="B59" s="16"/>
      <c r="C59" s="16"/>
      <c r="D59" s="16"/>
      <c r="E59" s="16"/>
      <c r="F59" s="19"/>
      <c r="G59" s="17"/>
    </row>
    <row r="60" customFormat="false" ht="15" hidden="false" customHeight="false" outlineLevel="0" collapsed="false">
      <c r="A60" s="17"/>
      <c r="B60" s="16"/>
      <c r="C60" s="16"/>
      <c r="D60" s="16"/>
      <c r="E60" s="16"/>
      <c r="F60" s="19"/>
      <c r="G60" s="17"/>
    </row>
    <row r="61" customFormat="false" ht="15" hidden="false" customHeight="false" outlineLevel="0" collapsed="false">
      <c r="A61" s="17"/>
      <c r="B61" s="16"/>
      <c r="C61" s="16"/>
      <c r="D61" s="16"/>
      <c r="E61" s="16"/>
      <c r="F61" s="19"/>
      <c r="G61" s="17"/>
    </row>
    <row r="62" customFormat="false" ht="15" hidden="false" customHeight="false" outlineLevel="0" collapsed="false">
      <c r="A62" s="17"/>
      <c r="B62" s="16"/>
      <c r="C62" s="16"/>
      <c r="D62" s="16"/>
      <c r="E62" s="16"/>
      <c r="F62" s="19"/>
      <c r="G62" s="17"/>
    </row>
    <row r="63" customFormat="false" ht="15" hidden="false" customHeight="false" outlineLevel="0" collapsed="false">
      <c r="A63" s="17"/>
      <c r="B63" s="16"/>
      <c r="C63" s="16"/>
      <c r="D63" s="16"/>
      <c r="E63" s="16"/>
      <c r="F63" s="19"/>
      <c r="G63" s="17"/>
    </row>
    <row r="64" customFormat="false" ht="15" hidden="false" customHeight="false" outlineLevel="0" collapsed="false">
      <c r="A64" s="17"/>
      <c r="B64" s="16"/>
      <c r="C64" s="16"/>
      <c r="D64" s="16"/>
      <c r="E64" s="16"/>
      <c r="F64" s="19"/>
      <c r="G64" s="17"/>
    </row>
    <row r="65" customFormat="false" ht="15" hidden="false" customHeight="false" outlineLevel="0" collapsed="false">
      <c r="A65" s="17"/>
      <c r="B65" s="16"/>
      <c r="C65" s="16"/>
      <c r="D65" s="16"/>
      <c r="E65" s="16"/>
      <c r="F65" s="19"/>
      <c r="G65" s="17"/>
    </row>
    <row r="66" customFormat="false" ht="15" hidden="false" customHeight="false" outlineLevel="0" collapsed="false">
      <c r="A66" s="17"/>
      <c r="B66" s="16"/>
      <c r="C66" s="16"/>
      <c r="D66" s="16"/>
      <c r="E66" s="16"/>
      <c r="F66" s="19"/>
      <c r="G66" s="17"/>
    </row>
    <row r="67" customFormat="false" ht="15" hidden="false" customHeight="false" outlineLevel="0" collapsed="false">
      <c r="A67" s="17"/>
      <c r="B67" s="16"/>
      <c r="C67" s="16"/>
      <c r="D67" s="16"/>
      <c r="E67" s="16"/>
      <c r="F67" s="19"/>
      <c r="G67" s="17"/>
    </row>
    <row r="68" customFormat="false" ht="15" hidden="false" customHeight="false" outlineLevel="0" collapsed="false">
      <c r="A68" s="17"/>
      <c r="B68" s="16"/>
      <c r="C68" s="16"/>
      <c r="D68" s="16"/>
      <c r="E68" s="16"/>
      <c r="F68" s="19"/>
      <c r="G68" s="17"/>
    </row>
    <row r="69" customFormat="false" ht="15" hidden="false" customHeight="false" outlineLevel="0" collapsed="false">
      <c r="A69" s="17"/>
      <c r="B69" s="16"/>
      <c r="C69" s="16"/>
      <c r="D69" s="16"/>
      <c r="E69" s="16"/>
      <c r="F69" s="19"/>
      <c r="G69" s="17"/>
    </row>
    <row r="70" customFormat="false" ht="15" hidden="false" customHeight="false" outlineLevel="0" collapsed="false">
      <c r="A70" s="17"/>
      <c r="B70" s="16"/>
      <c r="C70" s="16"/>
      <c r="D70" s="16"/>
      <c r="E70" s="16"/>
      <c r="F70" s="19"/>
      <c r="G70" s="17"/>
    </row>
    <row r="71" customFormat="false" ht="15" hidden="false" customHeight="false" outlineLevel="0" collapsed="false">
      <c r="A71" s="17"/>
      <c r="B71" s="16"/>
      <c r="C71" s="16"/>
      <c r="D71" s="16"/>
      <c r="E71" s="16"/>
      <c r="F71" s="19"/>
      <c r="G71" s="17"/>
    </row>
    <row r="72" customFormat="false" ht="15" hidden="false" customHeight="false" outlineLevel="0" collapsed="false">
      <c r="A72" s="17"/>
      <c r="B72" s="16"/>
      <c r="C72" s="16"/>
      <c r="D72" s="16"/>
      <c r="E72" s="16"/>
      <c r="F72" s="19"/>
      <c r="G72" s="17"/>
    </row>
    <row r="73" customFormat="false" ht="15" hidden="false" customHeight="false" outlineLevel="0" collapsed="false">
      <c r="A73" s="17"/>
      <c r="B73" s="16"/>
      <c r="C73" s="16"/>
      <c r="D73" s="16"/>
      <c r="E73" s="16"/>
      <c r="F73" s="19"/>
      <c r="G73" s="17"/>
    </row>
    <row r="74" customFormat="false" ht="15" hidden="false" customHeight="false" outlineLevel="0" collapsed="false">
      <c r="A74" s="17"/>
      <c r="B74" s="16"/>
      <c r="C74" s="16"/>
      <c r="D74" s="16"/>
      <c r="E74" s="16"/>
      <c r="F74" s="19"/>
      <c r="G74" s="17"/>
    </row>
    <row r="75" customFormat="false" ht="15" hidden="false" customHeight="false" outlineLevel="0" collapsed="false">
      <c r="A75" s="17"/>
      <c r="B75" s="16"/>
      <c r="C75" s="16"/>
      <c r="D75" s="16"/>
      <c r="E75" s="16"/>
      <c r="F75" s="19"/>
      <c r="G75" s="17"/>
    </row>
    <row r="76" customFormat="false" ht="15" hidden="false" customHeight="false" outlineLevel="0" collapsed="false">
      <c r="A76" s="17"/>
      <c r="B76" s="16"/>
      <c r="C76" s="16"/>
      <c r="D76" s="16"/>
      <c r="E76" s="16"/>
      <c r="F76" s="19"/>
      <c r="G76" s="17"/>
    </row>
    <row r="77" customFormat="false" ht="15" hidden="false" customHeight="false" outlineLevel="0" collapsed="false">
      <c r="A77" s="17"/>
      <c r="B77" s="16"/>
      <c r="C77" s="16"/>
      <c r="D77" s="16"/>
      <c r="E77" s="16"/>
      <c r="F77" s="19"/>
      <c r="G77" s="17"/>
    </row>
    <row r="78" customFormat="false" ht="15" hidden="false" customHeight="false" outlineLevel="0" collapsed="false">
      <c r="A78" s="17"/>
      <c r="B78" s="16"/>
      <c r="C78" s="16"/>
      <c r="D78" s="16"/>
      <c r="E78" s="16"/>
      <c r="F78" s="19"/>
      <c r="G78" s="17"/>
    </row>
    <row r="79" customFormat="false" ht="15" hidden="false" customHeight="false" outlineLevel="0" collapsed="false">
      <c r="A79" s="17"/>
      <c r="B79" s="16"/>
      <c r="C79" s="16"/>
      <c r="D79" s="16"/>
      <c r="E79" s="16"/>
      <c r="F79" s="19"/>
      <c r="G79" s="17"/>
    </row>
    <row r="80" customFormat="false" ht="15" hidden="false" customHeight="false" outlineLevel="0" collapsed="false">
      <c r="A80" s="17"/>
      <c r="B80" s="16"/>
      <c r="C80" s="16"/>
      <c r="D80" s="16"/>
      <c r="E80" s="16"/>
      <c r="F80" s="19"/>
      <c r="G80" s="17"/>
    </row>
    <row r="81" customFormat="false" ht="15" hidden="false" customHeight="false" outlineLevel="0" collapsed="false">
      <c r="A81" s="17"/>
      <c r="B81" s="16"/>
      <c r="C81" s="16"/>
      <c r="D81" s="16"/>
      <c r="E81" s="16"/>
      <c r="F81" s="19"/>
      <c r="G81" s="17"/>
    </row>
    <row r="82" customFormat="false" ht="15" hidden="false" customHeight="false" outlineLevel="0" collapsed="false">
      <c r="A82" s="17"/>
      <c r="B82" s="16"/>
      <c r="C82" s="16"/>
      <c r="D82" s="16"/>
      <c r="E82" s="16"/>
      <c r="F82" s="19"/>
      <c r="G82" s="17"/>
    </row>
    <row r="83" customFormat="false" ht="15" hidden="false" customHeight="false" outlineLevel="0" collapsed="false">
      <c r="A83" s="17"/>
      <c r="B83" s="16"/>
      <c r="C83" s="16"/>
      <c r="D83" s="16"/>
      <c r="E83" s="16"/>
      <c r="F83" s="19"/>
      <c r="G83" s="17"/>
    </row>
    <row r="84" customFormat="false" ht="15" hidden="false" customHeight="false" outlineLevel="0" collapsed="false">
      <c r="A84" s="17"/>
      <c r="B84" s="16"/>
      <c r="C84" s="16"/>
      <c r="D84" s="16"/>
      <c r="E84" s="16"/>
      <c r="F84" s="19"/>
      <c r="G84" s="17"/>
    </row>
    <row r="85" customFormat="false" ht="15" hidden="false" customHeight="false" outlineLevel="0" collapsed="false">
      <c r="A85" s="17"/>
      <c r="B85" s="16"/>
      <c r="C85" s="16"/>
      <c r="D85" s="16"/>
      <c r="E85" s="16"/>
      <c r="F85" s="19"/>
      <c r="G85" s="17"/>
    </row>
    <row r="86" customFormat="false" ht="15" hidden="false" customHeight="false" outlineLevel="0" collapsed="false">
      <c r="A86" s="17"/>
      <c r="B86" s="16"/>
      <c r="C86" s="16"/>
      <c r="D86" s="16"/>
      <c r="E86" s="16"/>
      <c r="F86" s="19"/>
      <c r="G86" s="17"/>
    </row>
    <row r="87" customFormat="false" ht="15" hidden="false" customHeight="false" outlineLevel="0" collapsed="false">
      <c r="A87" s="17"/>
      <c r="B87" s="16"/>
      <c r="C87" s="16"/>
      <c r="D87" s="16"/>
      <c r="E87" s="16"/>
      <c r="F87" s="19"/>
      <c r="G87" s="17"/>
    </row>
    <row r="88" customFormat="false" ht="15" hidden="false" customHeight="false" outlineLevel="0" collapsed="false">
      <c r="A88" s="17"/>
      <c r="B88" s="16"/>
      <c r="C88" s="16"/>
      <c r="D88" s="16"/>
      <c r="E88" s="16"/>
      <c r="F88" s="19"/>
      <c r="G88" s="17"/>
    </row>
    <row r="89" customFormat="false" ht="15" hidden="false" customHeight="false" outlineLevel="0" collapsed="false">
      <c r="A89" s="17"/>
      <c r="B89" s="16"/>
      <c r="C89" s="16"/>
      <c r="D89" s="16"/>
      <c r="E89" s="16"/>
      <c r="F89" s="19"/>
      <c r="G89" s="17"/>
    </row>
    <row r="90" customFormat="false" ht="15" hidden="false" customHeight="false" outlineLevel="0" collapsed="false">
      <c r="A90" s="17"/>
      <c r="B90" s="16"/>
      <c r="C90" s="16"/>
      <c r="D90" s="16"/>
      <c r="E90" s="16"/>
      <c r="F90" s="19"/>
      <c r="G90" s="17"/>
    </row>
    <row r="91" customFormat="false" ht="15" hidden="false" customHeight="false" outlineLevel="0" collapsed="false">
      <c r="A91" s="17"/>
      <c r="B91" s="16"/>
      <c r="C91" s="16"/>
      <c r="D91" s="16"/>
      <c r="E91" s="16"/>
      <c r="F91" s="19"/>
      <c r="G91" s="17"/>
    </row>
    <row r="92" customFormat="false" ht="15" hidden="false" customHeight="false" outlineLevel="0" collapsed="false">
      <c r="A92" s="17"/>
      <c r="B92" s="16"/>
      <c r="C92" s="16"/>
      <c r="D92" s="16"/>
      <c r="E92" s="16"/>
      <c r="F92" s="19"/>
      <c r="G92" s="17"/>
    </row>
    <row r="93" customFormat="false" ht="15" hidden="false" customHeight="false" outlineLevel="0" collapsed="false">
      <c r="A93" s="17"/>
      <c r="B93" s="16"/>
      <c r="C93" s="16"/>
      <c r="D93" s="16"/>
      <c r="E93" s="16"/>
      <c r="F93" s="19"/>
      <c r="G93" s="17"/>
    </row>
    <row r="94" customFormat="false" ht="15" hidden="false" customHeight="false" outlineLevel="0" collapsed="false">
      <c r="A94" s="17"/>
      <c r="B94" s="16"/>
      <c r="C94" s="16"/>
      <c r="D94" s="16"/>
      <c r="E94" s="16"/>
      <c r="F94" s="19"/>
      <c r="G94" s="17"/>
    </row>
    <row r="95" customFormat="false" ht="15" hidden="false" customHeight="false" outlineLevel="0" collapsed="false">
      <c r="A95" s="17"/>
      <c r="B95" s="16"/>
      <c r="C95" s="16"/>
      <c r="D95" s="16"/>
      <c r="E95" s="16"/>
      <c r="F95" s="19"/>
      <c r="G95" s="17"/>
    </row>
    <row r="96" customFormat="false" ht="15" hidden="false" customHeight="false" outlineLevel="0" collapsed="false">
      <c r="A96" s="17"/>
      <c r="B96" s="16"/>
      <c r="C96" s="16"/>
      <c r="D96" s="16"/>
      <c r="E96" s="16"/>
      <c r="F96" s="19"/>
      <c r="G96" s="17"/>
    </row>
    <row r="97" customFormat="false" ht="15" hidden="false" customHeight="false" outlineLevel="0" collapsed="false">
      <c r="A97" s="17"/>
      <c r="B97" s="16"/>
      <c r="C97" s="16"/>
      <c r="D97" s="16"/>
      <c r="E97" s="16"/>
      <c r="F97" s="19"/>
      <c r="G97" s="17"/>
    </row>
    <row r="98" customFormat="false" ht="15" hidden="false" customHeight="false" outlineLevel="0" collapsed="false">
      <c r="A98" s="17"/>
      <c r="B98" s="16"/>
      <c r="C98" s="16"/>
      <c r="D98" s="16"/>
      <c r="E98" s="16"/>
      <c r="F98" s="19"/>
      <c r="G98" s="17"/>
    </row>
    <row r="99" customFormat="false" ht="15" hidden="false" customHeight="false" outlineLevel="0" collapsed="false">
      <c r="A99" s="17"/>
      <c r="B99" s="16"/>
      <c r="C99" s="16"/>
      <c r="D99" s="16"/>
      <c r="E99" s="16"/>
      <c r="F99" s="19"/>
      <c r="G99" s="17"/>
    </row>
    <row r="100" customFormat="false" ht="15" hidden="false" customHeight="false" outlineLevel="0" collapsed="false">
      <c r="A100" s="17"/>
      <c r="B100" s="16"/>
      <c r="C100" s="16"/>
      <c r="D100" s="16"/>
      <c r="E100" s="16"/>
      <c r="F100" s="19"/>
      <c r="G100" s="17"/>
    </row>
    <row r="101" customFormat="false" ht="15" hidden="false" customHeight="false" outlineLevel="0" collapsed="false">
      <c r="A101" s="17"/>
      <c r="B101" s="16"/>
      <c r="C101" s="16"/>
      <c r="D101" s="16"/>
      <c r="E101" s="16"/>
      <c r="F101" s="19"/>
      <c r="G101" s="17"/>
    </row>
    <row r="102" customFormat="false" ht="15" hidden="false" customHeight="false" outlineLevel="0" collapsed="false">
      <c r="A102" s="17"/>
      <c r="B102" s="16"/>
      <c r="C102" s="16"/>
      <c r="D102" s="16"/>
      <c r="E102" s="16"/>
      <c r="F102" s="19"/>
      <c r="G102" s="17"/>
    </row>
    <row r="103" customFormat="false" ht="15" hidden="false" customHeight="false" outlineLevel="0" collapsed="false">
      <c r="A103" s="17"/>
      <c r="B103" s="16"/>
      <c r="C103" s="16"/>
      <c r="D103" s="16"/>
      <c r="E103" s="16"/>
      <c r="F103" s="19"/>
      <c r="G103" s="17"/>
    </row>
  </sheetData>
  <sheetProtection sheet="true" formatCells="false" formatColumns="false" formatRows="false" sort="false" autoFilter="false"/>
  <mergeCells count="2">
    <mergeCell ref="A1:G1"/>
    <mergeCell ref="A2:G2"/>
  </mergeCells>
  <conditionalFormatting sqref="D4:D103">
    <cfRule type="cellIs" priority="2" operator="equal" aboveAverage="0" equalAverage="0" bottom="0" percent="0" rank="0" text="" dxfId="0">
      <formula>"Haute"</formula>
    </cfRule>
  </conditionalFormatting>
  <dataValidations count="3">
    <dataValidation allowBlank="true" errorStyle="stop" operator="between" showDropDown="false" showErrorMessage="false" showInputMessage="false" sqref="B4:B103" type="list">
      <formula1>Paramètres!$A$9:$A$18</formula1>
      <formula2>0</formula2>
    </dataValidation>
    <dataValidation allowBlank="true" errorStyle="stop" operator="between" showDropDown="false" showErrorMessage="false" showInputMessage="false" sqref="D4:D103" type="list">
      <formula1>Paramètres!$K$9:$K$11</formula1>
      <formula2>0</formula2>
    </dataValidation>
    <dataValidation allowBlank="true" errorStyle="stop" operator="between" showDropDown="false" showErrorMessage="false" showInputMessage="false" sqref="E4:E103" type="list">
      <formula1>Paramètres!$L$9:$L$11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84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6" t="s">
        <v>21</v>
      </c>
      <c r="B3" s="6" t="s">
        <v>85</v>
      </c>
      <c r="C3" s="6" t="s">
        <v>31</v>
      </c>
      <c r="D3" s="6" t="s">
        <v>86</v>
      </c>
      <c r="E3" s="6" t="s">
        <v>39</v>
      </c>
      <c r="F3" s="6" t="s">
        <v>87</v>
      </c>
      <c r="G3" s="6" t="s">
        <v>45</v>
      </c>
    </row>
    <row r="4" customFormat="false" ht="15" hidden="false" customHeight="false" outlineLevel="0" collapsed="false">
      <c r="A4" s="14" t="s">
        <v>49</v>
      </c>
      <c r="B4" s="16" t="s">
        <v>88</v>
      </c>
      <c r="C4" s="16" t="s">
        <v>89</v>
      </c>
      <c r="D4" s="16" t="s">
        <v>90</v>
      </c>
      <c r="E4" s="22" t="n">
        <v>0.2</v>
      </c>
      <c r="F4" s="16"/>
      <c r="G4" s="16"/>
    </row>
    <row r="5" customFormat="false" ht="15" hidden="false" customHeight="false" outlineLevel="0" collapsed="false">
      <c r="A5" s="14" t="s">
        <v>91</v>
      </c>
      <c r="B5" s="16"/>
      <c r="C5" s="16"/>
      <c r="D5" s="16"/>
      <c r="E5" s="22" t="n">
        <v>0.2</v>
      </c>
      <c r="F5" s="16"/>
      <c r="G5" s="16"/>
    </row>
    <row r="6" customFormat="false" ht="15" hidden="false" customHeight="false" outlineLevel="0" collapsed="false">
      <c r="A6" s="14" t="s">
        <v>92</v>
      </c>
      <c r="B6" s="16"/>
      <c r="C6" s="16"/>
      <c r="D6" s="16"/>
      <c r="E6" s="22" t="n">
        <v>0.2</v>
      </c>
      <c r="F6" s="16"/>
      <c r="G6" s="16"/>
    </row>
    <row r="7" customFormat="false" ht="15" hidden="false" customHeight="false" outlineLevel="0" collapsed="false">
      <c r="A7" s="14" t="s">
        <v>93</v>
      </c>
      <c r="B7" s="16"/>
      <c r="C7" s="16"/>
      <c r="D7" s="16"/>
      <c r="E7" s="22" t="n">
        <v>0.2</v>
      </c>
      <c r="F7" s="16"/>
      <c r="G7" s="16"/>
    </row>
    <row r="8" customFormat="false" ht="15" hidden="false" customHeight="false" outlineLevel="0" collapsed="false">
      <c r="A8" s="14" t="s">
        <v>94</v>
      </c>
      <c r="B8" s="16"/>
      <c r="C8" s="16"/>
      <c r="D8" s="16"/>
      <c r="E8" s="22" t="n">
        <v>0.2</v>
      </c>
      <c r="F8" s="16"/>
      <c r="G8" s="16"/>
    </row>
    <row r="9" customFormat="false" ht="15" hidden="false" customHeight="false" outlineLevel="0" collapsed="false">
      <c r="A9" s="14" t="s">
        <v>95</v>
      </c>
      <c r="B9" s="16"/>
      <c r="C9" s="16"/>
      <c r="D9" s="16"/>
      <c r="E9" s="22" t="n">
        <v>0.2</v>
      </c>
      <c r="F9" s="16"/>
      <c r="G9" s="16"/>
    </row>
    <row r="10" customFormat="false" ht="15" hidden="false" customHeight="false" outlineLevel="0" collapsed="false">
      <c r="A10" s="14" t="s">
        <v>96</v>
      </c>
      <c r="B10" s="16"/>
      <c r="C10" s="16"/>
      <c r="D10" s="16"/>
      <c r="E10" s="22" t="n">
        <v>0.2</v>
      </c>
      <c r="F10" s="16"/>
      <c r="G10" s="16"/>
    </row>
    <row r="11" customFormat="false" ht="15" hidden="false" customHeight="false" outlineLevel="0" collapsed="false">
      <c r="A11" s="14" t="s">
        <v>97</v>
      </c>
      <c r="B11" s="16"/>
      <c r="C11" s="16"/>
      <c r="D11" s="16"/>
      <c r="E11" s="22" t="n">
        <v>0.2</v>
      </c>
      <c r="F11" s="16"/>
      <c r="G11" s="16"/>
    </row>
    <row r="12" customFormat="false" ht="15" hidden="false" customHeight="false" outlineLevel="0" collapsed="false">
      <c r="A12" s="14" t="s">
        <v>98</v>
      </c>
      <c r="B12" s="16"/>
      <c r="C12" s="16"/>
      <c r="D12" s="16"/>
      <c r="E12" s="22" t="n">
        <v>0.2</v>
      </c>
      <c r="F12" s="16"/>
      <c r="G12" s="16"/>
    </row>
    <row r="13" customFormat="false" ht="15" hidden="false" customHeight="false" outlineLevel="0" collapsed="false">
      <c r="A13" s="14" t="s">
        <v>99</v>
      </c>
      <c r="B13" s="16"/>
      <c r="C13" s="16"/>
      <c r="D13" s="16"/>
      <c r="E13" s="22" t="n">
        <v>0.2</v>
      </c>
      <c r="F13" s="16"/>
      <c r="G13" s="16"/>
    </row>
  </sheetData>
  <sheetProtection sheet="true" formatCells="false" formatColumns="false" formatRows="false" sort="false" autoFilter="false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true" outlineLevel="0" max="17" min="17" style="0" width="13"/>
  </cols>
  <sheetData>
    <row r="1" customFormat="false" ht="30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3.85" hidden="false" customHeight="false" outlineLevel="0" collapsed="false">
      <c r="A3" s="6" t="s">
        <v>46</v>
      </c>
      <c r="B3" s="6" t="s">
        <v>34</v>
      </c>
      <c r="C3" s="6" t="s">
        <v>102</v>
      </c>
      <c r="D3" s="6" t="s">
        <v>103</v>
      </c>
      <c r="E3" s="6" t="s">
        <v>104</v>
      </c>
      <c r="F3" s="6" t="s">
        <v>105</v>
      </c>
      <c r="G3" s="6" t="s">
        <v>106</v>
      </c>
      <c r="H3" s="6" t="s">
        <v>107</v>
      </c>
      <c r="I3" s="6" t="s">
        <v>71</v>
      </c>
      <c r="J3" s="6" t="s">
        <v>69</v>
      </c>
      <c r="K3" s="6" t="s">
        <v>108</v>
      </c>
      <c r="L3" s="6" t="s">
        <v>109</v>
      </c>
      <c r="M3" s="6" t="s">
        <v>110</v>
      </c>
      <c r="N3" s="6" t="s">
        <v>111</v>
      </c>
      <c r="O3" s="6" t="s">
        <v>112</v>
      </c>
      <c r="P3" s="6" t="s">
        <v>113</v>
      </c>
    </row>
    <row r="4" customFormat="false" ht="15" hidden="false" customHeight="false" outlineLevel="0" collapsed="false">
      <c r="A4" s="14" t="s">
        <v>114</v>
      </c>
      <c r="B4" s="14" t="n">
        <f aca="false">SUMIFS(Réservations!$H$4:$H$303,Réservations!$T$4:$T$303,$Q4,Réservations!$U$4:$U$303,Paramètres!$B$4,Réservations!$P$4:$P$303,"&lt;&gt;Annulée")</f>
        <v>0</v>
      </c>
      <c r="C4" s="21" t="n">
        <f aca="false">IF(Paramètres!$B$20=0,0,B4/(DAY(DATE(Paramètres!$B$4,$Q4+1,0))*Paramètres!$B$20))</f>
        <v>0</v>
      </c>
      <c r="D4" s="20" t="n">
        <f aca="false">SUMIFS(Réservations!$J$4:$J$303,Réservations!$T$4:$T$303,$Q4,Réservations!$U$4:$U$303,Paramètres!$B$4,Réservations!$P$4:$P$303,"&lt;&gt;Annulée")</f>
        <v>0</v>
      </c>
      <c r="E4" s="20" t="n">
        <f aca="false">SUMIFS(Réservations!$L$4:$L$303,Réservations!$T$4:$T$303,$Q4,Réservations!$U$4:$U$303,Paramètres!$B$4,Réservations!$P$4:$P$303,"&lt;&gt;Annulée")</f>
        <v>0</v>
      </c>
      <c r="F4" s="20" t="n">
        <f aca="false">SUMIFS(Réservations!$N$4:$N$303,Réservations!$T$4:$T$303,$Q4,Réservations!$U$4:$U$303,Paramètres!$B$4,Réservations!$P$4:$P$303,"&lt;&gt;Annulée")</f>
        <v>0</v>
      </c>
      <c r="G4" s="20" t="n">
        <f aca="false">SUMIFS(Réservations!$O$4:$O$303,Réservations!$T$4:$T$303,$Q4,Réservations!$U$4:$U$303,Paramètres!$B$4,Réservations!$P$4:$P$303,"&lt;&gt;Annulée")</f>
        <v>0</v>
      </c>
      <c r="H4" s="20" t="n">
        <f aca="false">SUMIFS(Dépenses!$E$4:$E$303,Dépenses!$F$4:$F$303,$Q4,Dépenses!$G$4:$G$303,Paramètres!$B$4,Dépenses!$C$4:$C$303,"Maintenance")</f>
        <v>0</v>
      </c>
      <c r="I4" s="20" t="n">
        <f aca="false">SUMIFS(Dépenses!$E$4:$E$303,Dépenses!$F$4:$F$303,$Q4,Dépenses!$G$4:$G$303,Paramètres!$B$4,Dépenses!$C$4:$C$303,"Consommables")</f>
        <v>0</v>
      </c>
      <c r="J4" s="20" t="n">
        <f aca="false">SUMIFS(Dépenses!$E$4:$E$303,Dépenses!$F$4:$F$303,$Q4,Dépenses!$G$4:$G$303,Paramètres!$B$4,Dépenses!$C$4:$C$303,"Électricité")</f>
        <v>0</v>
      </c>
      <c r="K4" s="20" t="n">
        <f aca="false">SUMIFS(Dépenses!$E$4:$E$303,Dépenses!$F$4:$F$303,$Q4,Dépenses!$G$4:$G$303,Paramètres!$B$4,Dépenses!$C$4:$C$303,"Eau")</f>
        <v>0</v>
      </c>
      <c r="L4" s="20" t="n">
        <f aca="false">SUMIFS(Dépenses!$E$4:$E$303,Dépenses!$F$4:$F$303,$Q4,Dépenses!$G$4:$G$303,Paramètres!$B$4,Dépenses!$C$4:$C$303,"Publicité")</f>
        <v>0</v>
      </c>
      <c r="M4" s="20" t="n">
        <f aca="false">SUMIFS(Dépenses!$E$4:$E$303,Dépenses!$F$4:$F$303,$Q4,Dépenses!$G$4:$G$303,Paramètres!$B$4,Dépenses!$C$4:$C$303,"Autre")</f>
        <v>0</v>
      </c>
      <c r="N4" s="20" t="n">
        <f aca="false">SUM(H4:M4)</f>
        <v>0</v>
      </c>
      <c r="O4" s="20" t="n">
        <f aca="false">F4-N4</f>
        <v>0</v>
      </c>
      <c r="P4" s="21" t="str">
        <f aca="false">IF($Q4=1,"",IF(D3=0,"",D4/D3-1))</f>
        <v/>
      </c>
      <c r="Q4" s="0" t="n">
        <v>1</v>
      </c>
    </row>
    <row r="5" customFormat="false" ht="15" hidden="false" customHeight="false" outlineLevel="0" collapsed="false">
      <c r="A5" s="14" t="s">
        <v>115</v>
      </c>
      <c r="B5" s="14" t="n">
        <f aca="false">SUMIFS(Réservations!$H$4:$H$303,Réservations!$T$4:$T$303,$Q5,Réservations!$U$4:$U$303,Paramètres!$B$4,Réservations!$P$4:$P$303,"&lt;&gt;Annulée")</f>
        <v>0</v>
      </c>
      <c r="C5" s="21" t="n">
        <f aca="false">IF(Paramètres!$B$20=0,0,B5/(DAY(DATE(Paramètres!$B$4,$Q5+1,0))*Paramètres!$B$20))</f>
        <v>0</v>
      </c>
      <c r="D5" s="20" t="n">
        <f aca="false">SUMIFS(Réservations!$J$4:$J$303,Réservations!$T$4:$T$303,$Q5,Réservations!$U$4:$U$303,Paramètres!$B$4,Réservations!$P$4:$P$303,"&lt;&gt;Annulée")</f>
        <v>0</v>
      </c>
      <c r="E5" s="20" t="n">
        <f aca="false">SUMIFS(Réservations!$L$4:$L$303,Réservations!$T$4:$T$303,$Q5,Réservations!$U$4:$U$303,Paramètres!$B$4,Réservations!$P$4:$P$303,"&lt;&gt;Annulée")</f>
        <v>0</v>
      </c>
      <c r="F5" s="20" t="n">
        <f aca="false">SUMIFS(Réservations!$N$4:$N$303,Réservations!$T$4:$T$303,$Q5,Réservations!$U$4:$U$303,Paramètres!$B$4,Réservations!$P$4:$P$303,"&lt;&gt;Annulée")</f>
        <v>0</v>
      </c>
      <c r="G5" s="20" t="n">
        <f aca="false">SUMIFS(Réservations!$O$4:$O$303,Réservations!$T$4:$T$303,$Q5,Réservations!$U$4:$U$303,Paramètres!$B$4,Réservations!$P$4:$P$303,"&lt;&gt;Annulée")</f>
        <v>0</v>
      </c>
      <c r="H5" s="20" t="n">
        <f aca="false">SUMIFS(Dépenses!$E$4:$E$303,Dépenses!$F$4:$F$303,$Q5,Dépenses!$G$4:$G$303,Paramètres!$B$4,Dépenses!$C$4:$C$303,"Maintenance")</f>
        <v>0</v>
      </c>
      <c r="I5" s="20" t="n">
        <f aca="false">SUMIFS(Dépenses!$E$4:$E$303,Dépenses!$F$4:$F$303,$Q5,Dépenses!$G$4:$G$303,Paramètres!$B$4,Dépenses!$C$4:$C$303,"Consommables")</f>
        <v>0</v>
      </c>
      <c r="J5" s="20" t="n">
        <f aca="false">SUMIFS(Dépenses!$E$4:$E$303,Dépenses!$F$4:$F$303,$Q5,Dépenses!$G$4:$G$303,Paramètres!$B$4,Dépenses!$C$4:$C$303,"Électricité")</f>
        <v>0</v>
      </c>
      <c r="K5" s="20" t="n">
        <f aca="false">SUMIFS(Dépenses!$E$4:$E$303,Dépenses!$F$4:$F$303,$Q5,Dépenses!$G$4:$G$303,Paramètres!$B$4,Dépenses!$C$4:$C$303,"Eau")</f>
        <v>0</v>
      </c>
      <c r="L5" s="20" t="n">
        <f aca="false">SUMIFS(Dépenses!$E$4:$E$303,Dépenses!$F$4:$F$303,$Q5,Dépenses!$G$4:$G$303,Paramètres!$B$4,Dépenses!$C$4:$C$303,"Publicité")</f>
        <v>0</v>
      </c>
      <c r="M5" s="20" t="n">
        <f aca="false">SUMIFS(Dépenses!$E$4:$E$303,Dépenses!$F$4:$F$303,$Q5,Dépenses!$G$4:$G$303,Paramètres!$B$4,Dépenses!$C$4:$C$303,"Autre")</f>
        <v>0</v>
      </c>
      <c r="N5" s="20" t="n">
        <f aca="false">SUM(H5:M5)</f>
        <v>0</v>
      </c>
      <c r="O5" s="20" t="n">
        <f aca="false">F5-N5</f>
        <v>0</v>
      </c>
      <c r="P5" s="21" t="str">
        <f aca="false">IF($Q5=1,"",IF(D4=0,"",D5/D4-1))</f>
        <v/>
      </c>
      <c r="Q5" s="0" t="n">
        <v>2</v>
      </c>
    </row>
    <row r="6" customFormat="false" ht="15" hidden="false" customHeight="false" outlineLevel="0" collapsed="false">
      <c r="A6" s="14" t="s">
        <v>116</v>
      </c>
      <c r="B6" s="14" t="n">
        <f aca="false">SUMIFS(Réservations!$H$4:$H$303,Réservations!$T$4:$T$303,$Q6,Réservations!$U$4:$U$303,Paramètres!$B$4,Réservations!$P$4:$P$303,"&lt;&gt;Annulée")</f>
        <v>0</v>
      </c>
      <c r="C6" s="21" t="n">
        <f aca="false">IF(Paramètres!$B$20=0,0,B6/(DAY(DATE(Paramètres!$B$4,$Q6+1,0))*Paramètres!$B$20))</f>
        <v>0</v>
      </c>
      <c r="D6" s="20" t="n">
        <f aca="false">SUMIFS(Réservations!$J$4:$J$303,Réservations!$T$4:$T$303,$Q6,Réservations!$U$4:$U$303,Paramètres!$B$4,Réservations!$P$4:$P$303,"&lt;&gt;Annulée")</f>
        <v>0</v>
      </c>
      <c r="E6" s="20" t="n">
        <f aca="false">SUMIFS(Réservations!$L$4:$L$303,Réservations!$T$4:$T$303,$Q6,Réservations!$U$4:$U$303,Paramètres!$B$4,Réservations!$P$4:$P$303,"&lt;&gt;Annulée")</f>
        <v>0</v>
      </c>
      <c r="F6" s="20" t="n">
        <f aca="false">SUMIFS(Réservations!$N$4:$N$303,Réservations!$T$4:$T$303,$Q6,Réservations!$U$4:$U$303,Paramètres!$B$4,Réservations!$P$4:$P$303,"&lt;&gt;Annulée")</f>
        <v>0</v>
      </c>
      <c r="G6" s="20" t="n">
        <f aca="false">SUMIFS(Réservations!$O$4:$O$303,Réservations!$T$4:$T$303,$Q6,Réservations!$U$4:$U$303,Paramètres!$B$4,Réservations!$P$4:$P$303,"&lt;&gt;Annulée")</f>
        <v>0</v>
      </c>
      <c r="H6" s="20" t="n">
        <f aca="false">SUMIFS(Dépenses!$E$4:$E$303,Dépenses!$F$4:$F$303,$Q6,Dépenses!$G$4:$G$303,Paramètres!$B$4,Dépenses!$C$4:$C$303,"Maintenance")</f>
        <v>0</v>
      </c>
      <c r="I6" s="20" t="n">
        <f aca="false">SUMIFS(Dépenses!$E$4:$E$303,Dépenses!$F$4:$F$303,$Q6,Dépenses!$G$4:$G$303,Paramètres!$B$4,Dépenses!$C$4:$C$303,"Consommables")</f>
        <v>0</v>
      </c>
      <c r="J6" s="20" t="n">
        <f aca="false">SUMIFS(Dépenses!$E$4:$E$303,Dépenses!$F$4:$F$303,$Q6,Dépenses!$G$4:$G$303,Paramètres!$B$4,Dépenses!$C$4:$C$303,"Électricité")</f>
        <v>0</v>
      </c>
      <c r="K6" s="20" t="n">
        <f aca="false">SUMIFS(Dépenses!$E$4:$E$303,Dépenses!$F$4:$F$303,$Q6,Dépenses!$G$4:$G$303,Paramètres!$B$4,Dépenses!$C$4:$C$303,"Eau")</f>
        <v>0</v>
      </c>
      <c r="L6" s="20" t="n">
        <f aca="false">SUMIFS(Dépenses!$E$4:$E$303,Dépenses!$F$4:$F$303,$Q6,Dépenses!$G$4:$G$303,Paramètres!$B$4,Dépenses!$C$4:$C$303,"Publicité")</f>
        <v>0</v>
      </c>
      <c r="M6" s="20" t="n">
        <f aca="false">SUMIFS(Dépenses!$E$4:$E$303,Dépenses!$F$4:$F$303,$Q6,Dépenses!$G$4:$G$303,Paramètres!$B$4,Dépenses!$C$4:$C$303,"Autre")</f>
        <v>0</v>
      </c>
      <c r="N6" s="20" t="n">
        <f aca="false">SUM(H6:M6)</f>
        <v>0</v>
      </c>
      <c r="O6" s="20" t="n">
        <f aca="false">F6-N6</f>
        <v>0</v>
      </c>
      <c r="P6" s="21" t="str">
        <f aca="false">IF($Q6=1,"",IF(D5=0,"",D6/D5-1))</f>
        <v/>
      </c>
      <c r="Q6" s="0" t="n">
        <v>3</v>
      </c>
    </row>
    <row r="7" customFormat="false" ht="15" hidden="false" customHeight="false" outlineLevel="0" collapsed="false">
      <c r="A7" s="14" t="s">
        <v>117</v>
      </c>
      <c r="B7" s="14" t="n">
        <f aca="false">SUMIFS(Réservations!$H$4:$H$303,Réservations!$T$4:$T$303,$Q7,Réservations!$U$4:$U$303,Paramètres!$B$4,Réservations!$P$4:$P$303,"&lt;&gt;Annulée")</f>
        <v>0</v>
      </c>
      <c r="C7" s="21" t="n">
        <f aca="false">IF(Paramètres!$B$20=0,0,B7/(DAY(DATE(Paramètres!$B$4,$Q7+1,0))*Paramètres!$B$20))</f>
        <v>0</v>
      </c>
      <c r="D7" s="20" t="n">
        <f aca="false">SUMIFS(Réservations!$J$4:$J$303,Réservations!$T$4:$T$303,$Q7,Réservations!$U$4:$U$303,Paramètres!$B$4,Réservations!$P$4:$P$303,"&lt;&gt;Annulée")</f>
        <v>0</v>
      </c>
      <c r="E7" s="20" t="n">
        <f aca="false">SUMIFS(Réservations!$L$4:$L$303,Réservations!$T$4:$T$303,$Q7,Réservations!$U$4:$U$303,Paramètres!$B$4,Réservations!$P$4:$P$303,"&lt;&gt;Annulée")</f>
        <v>0</v>
      </c>
      <c r="F7" s="20" t="n">
        <f aca="false">SUMIFS(Réservations!$N$4:$N$303,Réservations!$T$4:$T$303,$Q7,Réservations!$U$4:$U$303,Paramètres!$B$4,Réservations!$P$4:$P$303,"&lt;&gt;Annulée")</f>
        <v>0</v>
      </c>
      <c r="G7" s="20" t="n">
        <f aca="false">SUMIFS(Réservations!$O$4:$O$303,Réservations!$T$4:$T$303,$Q7,Réservations!$U$4:$U$303,Paramètres!$B$4,Réservations!$P$4:$P$303,"&lt;&gt;Annulée")</f>
        <v>0</v>
      </c>
      <c r="H7" s="20" t="n">
        <f aca="false">SUMIFS(Dépenses!$E$4:$E$303,Dépenses!$F$4:$F$303,$Q7,Dépenses!$G$4:$G$303,Paramètres!$B$4,Dépenses!$C$4:$C$303,"Maintenance")</f>
        <v>0</v>
      </c>
      <c r="I7" s="20" t="n">
        <f aca="false">SUMIFS(Dépenses!$E$4:$E$303,Dépenses!$F$4:$F$303,$Q7,Dépenses!$G$4:$G$303,Paramètres!$B$4,Dépenses!$C$4:$C$303,"Consommables")</f>
        <v>0</v>
      </c>
      <c r="J7" s="20" t="n">
        <f aca="false">SUMIFS(Dépenses!$E$4:$E$303,Dépenses!$F$4:$F$303,$Q7,Dépenses!$G$4:$G$303,Paramètres!$B$4,Dépenses!$C$4:$C$303,"Électricité")</f>
        <v>0</v>
      </c>
      <c r="K7" s="20" t="n">
        <f aca="false">SUMIFS(Dépenses!$E$4:$E$303,Dépenses!$F$4:$F$303,$Q7,Dépenses!$G$4:$G$303,Paramètres!$B$4,Dépenses!$C$4:$C$303,"Eau")</f>
        <v>0</v>
      </c>
      <c r="L7" s="20" t="n">
        <f aca="false">SUMIFS(Dépenses!$E$4:$E$303,Dépenses!$F$4:$F$303,$Q7,Dépenses!$G$4:$G$303,Paramètres!$B$4,Dépenses!$C$4:$C$303,"Publicité")</f>
        <v>0</v>
      </c>
      <c r="M7" s="20" t="n">
        <f aca="false">SUMIFS(Dépenses!$E$4:$E$303,Dépenses!$F$4:$F$303,$Q7,Dépenses!$G$4:$G$303,Paramètres!$B$4,Dépenses!$C$4:$C$303,"Autre")</f>
        <v>0</v>
      </c>
      <c r="N7" s="20" t="n">
        <f aca="false">SUM(H7:M7)</f>
        <v>0</v>
      </c>
      <c r="O7" s="20" t="n">
        <f aca="false">F7-N7</f>
        <v>0</v>
      </c>
      <c r="P7" s="21" t="str">
        <f aca="false">IF($Q7=1,"",IF(D6=0,"",D7/D6-1))</f>
        <v/>
      </c>
      <c r="Q7" s="0" t="n">
        <v>4</v>
      </c>
    </row>
    <row r="8" customFormat="false" ht="15" hidden="false" customHeight="false" outlineLevel="0" collapsed="false">
      <c r="A8" s="14" t="s">
        <v>118</v>
      </c>
      <c r="B8" s="14" t="n">
        <f aca="false">SUMIFS(Réservations!$H$4:$H$303,Réservations!$T$4:$T$303,$Q8,Réservations!$U$4:$U$303,Paramètres!$B$4,Réservations!$P$4:$P$303,"&lt;&gt;Annulée")</f>
        <v>0</v>
      </c>
      <c r="C8" s="21" t="n">
        <f aca="false">IF(Paramètres!$B$20=0,0,B8/(DAY(DATE(Paramètres!$B$4,$Q8+1,0))*Paramètres!$B$20))</f>
        <v>0</v>
      </c>
      <c r="D8" s="20" t="n">
        <f aca="false">SUMIFS(Réservations!$J$4:$J$303,Réservations!$T$4:$T$303,$Q8,Réservations!$U$4:$U$303,Paramètres!$B$4,Réservations!$P$4:$P$303,"&lt;&gt;Annulée")</f>
        <v>0</v>
      </c>
      <c r="E8" s="20" t="n">
        <f aca="false">SUMIFS(Réservations!$L$4:$L$303,Réservations!$T$4:$T$303,$Q8,Réservations!$U$4:$U$303,Paramètres!$B$4,Réservations!$P$4:$P$303,"&lt;&gt;Annulée")</f>
        <v>0</v>
      </c>
      <c r="F8" s="20" t="n">
        <f aca="false">SUMIFS(Réservations!$N$4:$N$303,Réservations!$T$4:$T$303,$Q8,Réservations!$U$4:$U$303,Paramètres!$B$4,Réservations!$P$4:$P$303,"&lt;&gt;Annulée")</f>
        <v>0</v>
      </c>
      <c r="G8" s="20" t="n">
        <f aca="false">SUMIFS(Réservations!$O$4:$O$303,Réservations!$T$4:$T$303,$Q8,Réservations!$U$4:$U$303,Paramètres!$B$4,Réservations!$P$4:$P$303,"&lt;&gt;Annulée")</f>
        <v>0</v>
      </c>
      <c r="H8" s="20" t="n">
        <f aca="false">SUMIFS(Dépenses!$E$4:$E$303,Dépenses!$F$4:$F$303,$Q8,Dépenses!$G$4:$G$303,Paramètres!$B$4,Dépenses!$C$4:$C$303,"Maintenance")</f>
        <v>0</v>
      </c>
      <c r="I8" s="20" t="n">
        <f aca="false">SUMIFS(Dépenses!$E$4:$E$303,Dépenses!$F$4:$F$303,$Q8,Dépenses!$G$4:$G$303,Paramètres!$B$4,Dépenses!$C$4:$C$303,"Consommables")</f>
        <v>0</v>
      </c>
      <c r="J8" s="20" t="n">
        <f aca="false">SUMIFS(Dépenses!$E$4:$E$303,Dépenses!$F$4:$F$303,$Q8,Dépenses!$G$4:$G$303,Paramètres!$B$4,Dépenses!$C$4:$C$303,"Électricité")</f>
        <v>0</v>
      </c>
      <c r="K8" s="20" t="n">
        <f aca="false">SUMIFS(Dépenses!$E$4:$E$303,Dépenses!$F$4:$F$303,$Q8,Dépenses!$G$4:$G$303,Paramètres!$B$4,Dépenses!$C$4:$C$303,"Eau")</f>
        <v>0</v>
      </c>
      <c r="L8" s="20" t="n">
        <f aca="false">SUMIFS(Dépenses!$E$4:$E$303,Dépenses!$F$4:$F$303,$Q8,Dépenses!$G$4:$G$303,Paramètres!$B$4,Dépenses!$C$4:$C$303,"Publicité")</f>
        <v>0</v>
      </c>
      <c r="M8" s="20" t="n">
        <f aca="false">SUMIFS(Dépenses!$E$4:$E$303,Dépenses!$F$4:$F$303,$Q8,Dépenses!$G$4:$G$303,Paramètres!$B$4,Dépenses!$C$4:$C$303,"Autre")</f>
        <v>0</v>
      </c>
      <c r="N8" s="20" t="n">
        <f aca="false">SUM(H8:M8)</f>
        <v>0</v>
      </c>
      <c r="O8" s="20" t="n">
        <f aca="false">F8-N8</f>
        <v>0</v>
      </c>
      <c r="P8" s="21" t="str">
        <f aca="false">IF($Q8=1,"",IF(D7=0,"",D8/D7-1))</f>
        <v/>
      </c>
      <c r="Q8" s="0" t="n">
        <v>5</v>
      </c>
    </row>
    <row r="9" customFormat="false" ht="15" hidden="false" customHeight="false" outlineLevel="0" collapsed="false">
      <c r="A9" s="14" t="s">
        <v>119</v>
      </c>
      <c r="B9" s="14" t="n">
        <f aca="false">SUMIFS(Réservations!$H$4:$H$303,Réservations!$T$4:$T$303,$Q9,Réservations!$U$4:$U$303,Paramètres!$B$4,Réservations!$P$4:$P$303,"&lt;&gt;Annulée")</f>
        <v>0</v>
      </c>
      <c r="C9" s="21" t="n">
        <f aca="false">IF(Paramètres!$B$20=0,0,B9/(DAY(DATE(Paramètres!$B$4,$Q9+1,0))*Paramètres!$B$20))</f>
        <v>0</v>
      </c>
      <c r="D9" s="20" t="n">
        <f aca="false">SUMIFS(Réservations!$J$4:$J$303,Réservations!$T$4:$T$303,$Q9,Réservations!$U$4:$U$303,Paramètres!$B$4,Réservations!$P$4:$P$303,"&lt;&gt;Annulée")</f>
        <v>0</v>
      </c>
      <c r="E9" s="20" t="n">
        <f aca="false">SUMIFS(Réservations!$L$4:$L$303,Réservations!$T$4:$T$303,$Q9,Réservations!$U$4:$U$303,Paramètres!$B$4,Réservations!$P$4:$P$303,"&lt;&gt;Annulée")</f>
        <v>0</v>
      </c>
      <c r="F9" s="20" t="n">
        <f aca="false">SUMIFS(Réservations!$N$4:$N$303,Réservations!$T$4:$T$303,$Q9,Réservations!$U$4:$U$303,Paramètres!$B$4,Réservations!$P$4:$P$303,"&lt;&gt;Annulée")</f>
        <v>0</v>
      </c>
      <c r="G9" s="20" t="n">
        <f aca="false">SUMIFS(Réservations!$O$4:$O$303,Réservations!$T$4:$T$303,$Q9,Réservations!$U$4:$U$303,Paramètres!$B$4,Réservations!$P$4:$P$303,"&lt;&gt;Annulée")</f>
        <v>0</v>
      </c>
      <c r="H9" s="20" t="n">
        <f aca="false">SUMIFS(Dépenses!$E$4:$E$303,Dépenses!$F$4:$F$303,$Q9,Dépenses!$G$4:$G$303,Paramètres!$B$4,Dépenses!$C$4:$C$303,"Maintenance")</f>
        <v>0</v>
      </c>
      <c r="I9" s="20" t="n">
        <f aca="false">SUMIFS(Dépenses!$E$4:$E$303,Dépenses!$F$4:$F$303,$Q9,Dépenses!$G$4:$G$303,Paramètres!$B$4,Dépenses!$C$4:$C$303,"Consommables")</f>
        <v>0</v>
      </c>
      <c r="J9" s="20" t="n">
        <f aca="false">SUMIFS(Dépenses!$E$4:$E$303,Dépenses!$F$4:$F$303,$Q9,Dépenses!$G$4:$G$303,Paramètres!$B$4,Dépenses!$C$4:$C$303,"Électricité")</f>
        <v>0</v>
      </c>
      <c r="K9" s="20" t="n">
        <f aca="false">SUMIFS(Dépenses!$E$4:$E$303,Dépenses!$F$4:$F$303,$Q9,Dépenses!$G$4:$G$303,Paramètres!$B$4,Dépenses!$C$4:$C$303,"Eau")</f>
        <v>0</v>
      </c>
      <c r="L9" s="20" t="n">
        <f aca="false">SUMIFS(Dépenses!$E$4:$E$303,Dépenses!$F$4:$F$303,$Q9,Dépenses!$G$4:$G$303,Paramètres!$B$4,Dépenses!$C$4:$C$303,"Publicité")</f>
        <v>0</v>
      </c>
      <c r="M9" s="20" t="n">
        <f aca="false">SUMIFS(Dépenses!$E$4:$E$303,Dépenses!$F$4:$F$303,$Q9,Dépenses!$G$4:$G$303,Paramètres!$B$4,Dépenses!$C$4:$C$303,"Autre")</f>
        <v>0</v>
      </c>
      <c r="N9" s="20" t="n">
        <f aca="false">SUM(H9:M9)</f>
        <v>0</v>
      </c>
      <c r="O9" s="20" t="n">
        <f aca="false">F9-N9</f>
        <v>0</v>
      </c>
      <c r="P9" s="21" t="str">
        <f aca="false">IF($Q9=1,"",IF(D8=0,"",D9/D8-1))</f>
        <v/>
      </c>
      <c r="Q9" s="0" t="n">
        <v>6</v>
      </c>
    </row>
    <row r="10" customFormat="false" ht="15" hidden="false" customHeight="false" outlineLevel="0" collapsed="false">
      <c r="A10" s="14" t="s">
        <v>120</v>
      </c>
      <c r="B10" s="14" t="n">
        <f aca="false">SUMIFS(Réservations!$H$4:$H$303,Réservations!$T$4:$T$303,$Q10,Réservations!$U$4:$U$303,Paramètres!$B$4,Réservations!$P$4:$P$303,"&lt;&gt;Annulée")</f>
        <v>8</v>
      </c>
      <c r="C10" s="21" t="n">
        <f aca="false">IF(Paramètres!$B$20=0,0,B10/(DAY(DATE(Paramètres!$B$4,$Q10+1,0))*Paramètres!$B$20))</f>
        <v>0.258064516129032</v>
      </c>
      <c r="D10" s="20" t="n">
        <f aca="false">SUMIFS(Réservations!$J$4:$J$303,Réservations!$T$4:$T$303,$Q10,Réservations!$U$4:$U$303,Paramètres!$B$4,Réservations!$P$4:$P$303,"&lt;&gt;Annulée")</f>
        <v>5400</v>
      </c>
      <c r="E10" s="20" t="n">
        <f aca="false">SUMIFS(Réservations!$L$4:$L$303,Réservations!$T$4:$T$303,$Q10,Réservations!$U$4:$U$303,Paramètres!$B$4,Réservations!$P$4:$P$303,"&lt;&gt;Annulée")</f>
        <v>498</v>
      </c>
      <c r="F10" s="20" t="n">
        <f aca="false">SUMIFS(Réservations!$N$4:$N$303,Réservations!$T$4:$T$303,$Q10,Réservations!$U$4:$U$303,Paramètres!$B$4,Réservations!$P$4:$P$303,"&lt;&gt;Annulée")</f>
        <v>980.4</v>
      </c>
      <c r="G10" s="20" t="n">
        <f aca="false">SUMIFS(Réservations!$O$4:$O$303,Réservations!$T$4:$T$303,$Q10,Réservations!$U$4:$U$303,Paramètres!$B$4,Réservations!$P$4:$P$303,"&lt;&gt;Annulée")</f>
        <v>3921.6</v>
      </c>
      <c r="H10" s="20" t="n">
        <f aca="false">SUMIFS(Dépenses!$E$4:$E$303,Dépenses!$F$4:$F$303,$Q10,Dépenses!$G$4:$G$303,Paramètres!$B$4,Dépenses!$C$4:$C$303,"Maintenance")</f>
        <v>0</v>
      </c>
      <c r="I10" s="20" t="n">
        <f aca="false">SUMIFS(Dépenses!$E$4:$E$303,Dépenses!$F$4:$F$303,$Q10,Dépenses!$G$4:$G$303,Paramètres!$B$4,Dépenses!$C$4:$C$303,"Consommables")</f>
        <v>180</v>
      </c>
      <c r="J10" s="20" t="n">
        <f aca="false">SUMIFS(Dépenses!$E$4:$E$303,Dépenses!$F$4:$F$303,$Q10,Dépenses!$G$4:$G$303,Paramètres!$B$4,Dépenses!$C$4:$C$303,"Électricité")</f>
        <v>350</v>
      </c>
      <c r="K10" s="20" t="n">
        <f aca="false">SUMIFS(Dépenses!$E$4:$E$303,Dépenses!$F$4:$F$303,$Q10,Dépenses!$G$4:$G$303,Paramètres!$B$4,Dépenses!$C$4:$C$303,"Eau")</f>
        <v>0</v>
      </c>
      <c r="L10" s="20" t="n">
        <f aca="false">SUMIFS(Dépenses!$E$4:$E$303,Dépenses!$F$4:$F$303,$Q10,Dépenses!$G$4:$G$303,Paramètres!$B$4,Dépenses!$C$4:$C$303,"Publicité")</f>
        <v>0</v>
      </c>
      <c r="M10" s="20" t="n">
        <f aca="false">SUMIFS(Dépenses!$E$4:$E$303,Dépenses!$F$4:$F$303,$Q10,Dépenses!$G$4:$G$303,Paramètres!$B$4,Dépenses!$C$4:$C$303,"Autre")</f>
        <v>0</v>
      </c>
      <c r="N10" s="20" t="n">
        <f aca="false">SUM(H10:M10)</f>
        <v>530</v>
      </c>
      <c r="O10" s="20" t="n">
        <f aca="false">F10-N10</f>
        <v>450.4</v>
      </c>
      <c r="P10" s="21" t="str">
        <f aca="false">IF($Q10=1,"",IF(D9=0,"",D10/D9-1))</f>
        <v/>
      </c>
      <c r="Q10" s="0" t="n">
        <v>7</v>
      </c>
    </row>
    <row r="11" customFormat="false" ht="15" hidden="false" customHeight="false" outlineLevel="0" collapsed="false">
      <c r="A11" s="14" t="s">
        <v>121</v>
      </c>
      <c r="B11" s="14" t="n">
        <f aca="false">SUMIFS(Réservations!$H$4:$H$303,Réservations!$T$4:$T$303,$Q11,Réservations!$U$4:$U$303,Paramètres!$B$4,Réservations!$P$4:$P$303,"&lt;&gt;Annulée")</f>
        <v>0</v>
      </c>
      <c r="C11" s="21" t="n">
        <f aca="false">IF(Paramètres!$B$20=0,0,B11/(DAY(DATE(Paramètres!$B$4,$Q11+1,0))*Paramètres!$B$20))</f>
        <v>0</v>
      </c>
      <c r="D11" s="20" t="n">
        <f aca="false">SUMIFS(Réservations!$J$4:$J$303,Réservations!$T$4:$T$303,$Q11,Réservations!$U$4:$U$303,Paramètres!$B$4,Réservations!$P$4:$P$303,"&lt;&gt;Annulée")</f>
        <v>0</v>
      </c>
      <c r="E11" s="20" t="n">
        <f aca="false">SUMIFS(Réservations!$L$4:$L$303,Réservations!$T$4:$T$303,$Q11,Réservations!$U$4:$U$303,Paramètres!$B$4,Réservations!$P$4:$P$303,"&lt;&gt;Annulée")</f>
        <v>0</v>
      </c>
      <c r="F11" s="20" t="n">
        <f aca="false">SUMIFS(Réservations!$N$4:$N$303,Réservations!$T$4:$T$303,$Q11,Réservations!$U$4:$U$303,Paramètres!$B$4,Réservations!$P$4:$P$303,"&lt;&gt;Annulée")</f>
        <v>0</v>
      </c>
      <c r="G11" s="20" t="n">
        <f aca="false">SUMIFS(Réservations!$O$4:$O$303,Réservations!$T$4:$T$303,$Q11,Réservations!$U$4:$U$303,Paramètres!$B$4,Réservations!$P$4:$P$303,"&lt;&gt;Annulée")</f>
        <v>0</v>
      </c>
      <c r="H11" s="20" t="n">
        <f aca="false">SUMIFS(Dépenses!$E$4:$E$303,Dépenses!$F$4:$F$303,$Q11,Dépenses!$G$4:$G$303,Paramètres!$B$4,Dépenses!$C$4:$C$303,"Maintenance")</f>
        <v>0</v>
      </c>
      <c r="I11" s="20" t="n">
        <f aca="false">SUMIFS(Dépenses!$E$4:$E$303,Dépenses!$F$4:$F$303,$Q11,Dépenses!$G$4:$G$303,Paramètres!$B$4,Dépenses!$C$4:$C$303,"Consommables")</f>
        <v>0</v>
      </c>
      <c r="J11" s="20" t="n">
        <f aca="false">SUMIFS(Dépenses!$E$4:$E$303,Dépenses!$F$4:$F$303,$Q11,Dépenses!$G$4:$G$303,Paramètres!$B$4,Dépenses!$C$4:$C$303,"Électricité")</f>
        <v>0</v>
      </c>
      <c r="K11" s="20" t="n">
        <f aca="false">SUMIFS(Dépenses!$E$4:$E$303,Dépenses!$F$4:$F$303,$Q11,Dépenses!$G$4:$G$303,Paramètres!$B$4,Dépenses!$C$4:$C$303,"Eau")</f>
        <v>0</v>
      </c>
      <c r="L11" s="20" t="n">
        <f aca="false">SUMIFS(Dépenses!$E$4:$E$303,Dépenses!$F$4:$F$303,$Q11,Dépenses!$G$4:$G$303,Paramètres!$B$4,Dépenses!$C$4:$C$303,"Publicité")</f>
        <v>0</v>
      </c>
      <c r="M11" s="20" t="n">
        <f aca="false">SUMIFS(Dépenses!$E$4:$E$303,Dépenses!$F$4:$F$303,$Q11,Dépenses!$G$4:$G$303,Paramètres!$B$4,Dépenses!$C$4:$C$303,"Autre")</f>
        <v>0</v>
      </c>
      <c r="N11" s="20" t="n">
        <f aca="false">SUM(H11:M11)</f>
        <v>0</v>
      </c>
      <c r="O11" s="20" t="n">
        <f aca="false">F11-N11</f>
        <v>0</v>
      </c>
      <c r="P11" s="21" t="n">
        <f aca="false">IF($Q11=1,"",IF(D10=0,"",D11/D10-1))</f>
        <v>-1</v>
      </c>
      <c r="Q11" s="0" t="n">
        <v>8</v>
      </c>
    </row>
    <row r="12" customFormat="false" ht="15" hidden="false" customHeight="false" outlineLevel="0" collapsed="false">
      <c r="A12" s="14" t="s">
        <v>122</v>
      </c>
      <c r="B12" s="14" t="n">
        <f aca="false">SUMIFS(Réservations!$H$4:$H$303,Réservations!$T$4:$T$303,$Q12,Réservations!$U$4:$U$303,Paramètres!$B$4,Réservations!$P$4:$P$303,"&lt;&gt;Annulée")</f>
        <v>0</v>
      </c>
      <c r="C12" s="21" t="n">
        <f aca="false">IF(Paramètres!$B$20=0,0,B12/(DAY(DATE(Paramètres!$B$4,$Q12+1,0))*Paramètres!$B$20))</f>
        <v>0</v>
      </c>
      <c r="D12" s="20" t="n">
        <f aca="false">SUMIFS(Réservations!$J$4:$J$303,Réservations!$T$4:$T$303,$Q12,Réservations!$U$4:$U$303,Paramètres!$B$4,Réservations!$P$4:$P$303,"&lt;&gt;Annulée")</f>
        <v>0</v>
      </c>
      <c r="E12" s="20" t="n">
        <f aca="false">SUMIFS(Réservations!$L$4:$L$303,Réservations!$T$4:$T$303,$Q12,Réservations!$U$4:$U$303,Paramètres!$B$4,Réservations!$P$4:$P$303,"&lt;&gt;Annulée")</f>
        <v>0</v>
      </c>
      <c r="F12" s="20" t="n">
        <f aca="false">SUMIFS(Réservations!$N$4:$N$303,Réservations!$T$4:$T$303,$Q12,Réservations!$U$4:$U$303,Paramètres!$B$4,Réservations!$P$4:$P$303,"&lt;&gt;Annulée")</f>
        <v>0</v>
      </c>
      <c r="G12" s="20" t="n">
        <f aca="false">SUMIFS(Réservations!$O$4:$O$303,Réservations!$T$4:$T$303,$Q12,Réservations!$U$4:$U$303,Paramètres!$B$4,Réservations!$P$4:$P$303,"&lt;&gt;Annulée")</f>
        <v>0</v>
      </c>
      <c r="H12" s="20" t="n">
        <f aca="false">SUMIFS(Dépenses!$E$4:$E$303,Dépenses!$F$4:$F$303,$Q12,Dépenses!$G$4:$G$303,Paramètres!$B$4,Dépenses!$C$4:$C$303,"Maintenance")</f>
        <v>0</v>
      </c>
      <c r="I12" s="20" t="n">
        <f aca="false">SUMIFS(Dépenses!$E$4:$E$303,Dépenses!$F$4:$F$303,$Q12,Dépenses!$G$4:$G$303,Paramètres!$B$4,Dépenses!$C$4:$C$303,"Consommables")</f>
        <v>0</v>
      </c>
      <c r="J12" s="20" t="n">
        <f aca="false">SUMIFS(Dépenses!$E$4:$E$303,Dépenses!$F$4:$F$303,$Q12,Dépenses!$G$4:$G$303,Paramètres!$B$4,Dépenses!$C$4:$C$303,"Électricité")</f>
        <v>0</v>
      </c>
      <c r="K12" s="20" t="n">
        <f aca="false">SUMIFS(Dépenses!$E$4:$E$303,Dépenses!$F$4:$F$303,$Q12,Dépenses!$G$4:$G$303,Paramètres!$B$4,Dépenses!$C$4:$C$303,"Eau")</f>
        <v>0</v>
      </c>
      <c r="L12" s="20" t="n">
        <f aca="false">SUMIFS(Dépenses!$E$4:$E$303,Dépenses!$F$4:$F$303,$Q12,Dépenses!$G$4:$G$303,Paramètres!$B$4,Dépenses!$C$4:$C$303,"Publicité")</f>
        <v>0</v>
      </c>
      <c r="M12" s="20" t="n">
        <f aca="false">SUMIFS(Dépenses!$E$4:$E$303,Dépenses!$F$4:$F$303,$Q12,Dépenses!$G$4:$G$303,Paramètres!$B$4,Dépenses!$C$4:$C$303,"Autre")</f>
        <v>0</v>
      </c>
      <c r="N12" s="20" t="n">
        <f aca="false">SUM(H12:M12)</f>
        <v>0</v>
      </c>
      <c r="O12" s="20" t="n">
        <f aca="false">F12-N12</f>
        <v>0</v>
      </c>
      <c r="P12" s="21" t="str">
        <f aca="false">IF($Q12=1,"",IF(D11=0,"",D12/D11-1))</f>
        <v/>
      </c>
      <c r="Q12" s="0" t="n">
        <v>9</v>
      </c>
    </row>
    <row r="13" customFormat="false" ht="15" hidden="false" customHeight="false" outlineLevel="0" collapsed="false">
      <c r="A13" s="14" t="s">
        <v>123</v>
      </c>
      <c r="B13" s="14" t="n">
        <f aca="false">SUMIFS(Réservations!$H$4:$H$303,Réservations!$T$4:$T$303,$Q13,Réservations!$U$4:$U$303,Paramètres!$B$4,Réservations!$P$4:$P$303,"&lt;&gt;Annulée")</f>
        <v>0</v>
      </c>
      <c r="C13" s="21" t="n">
        <f aca="false">IF(Paramètres!$B$20=0,0,B13/(DAY(DATE(Paramètres!$B$4,$Q13+1,0))*Paramètres!$B$20))</f>
        <v>0</v>
      </c>
      <c r="D13" s="20" t="n">
        <f aca="false">SUMIFS(Réservations!$J$4:$J$303,Réservations!$T$4:$T$303,$Q13,Réservations!$U$4:$U$303,Paramètres!$B$4,Réservations!$P$4:$P$303,"&lt;&gt;Annulée")</f>
        <v>0</v>
      </c>
      <c r="E13" s="20" t="n">
        <f aca="false">SUMIFS(Réservations!$L$4:$L$303,Réservations!$T$4:$T$303,$Q13,Réservations!$U$4:$U$303,Paramètres!$B$4,Réservations!$P$4:$P$303,"&lt;&gt;Annulée")</f>
        <v>0</v>
      </c>
      <c r="F13" s="20" t="n">
        <f aca="false">SUMIFS(Réservations!$N$4:$N$303,Réservations!$T$4:$T$303,$Q13,Réservations!$U$4:$U$303,Paramètres!$B$4,Réservations!$P$4:$P$303,"&lt;&gt;Annulée")</f>
        <v>0</v>
      </c>
      <c r="G13" s="20" t="n">
        <f aca="false">SUMIFS(Réservations!$O$4:$O$303,Réservations!$T$4:$T$303,$Q13,Réservations!$U$4:$U$303,Paramètres!$B$4,Réservations!$P$4:$P$303,"&lt;&gt;Annulée")</f>
        <v>0</v>
      </c>
      <c r="H13" s="20" t="n">
        <f aca="false">SUMIFS(Dépenses!$E$4:$E$303,Dépenses!$F$4:$F$303,$Q13,Dépenses!$G$4:$G$303,Paramètres!$B$4,Dépenses!$C$4:$C$303,"Maintenance")</f>
        <v>0</v>
      </c>
      <c r="I13" s="20" t="n">
        <f aca="false">SUMIFS(Dépenses!$E$4:$E$303,Dépenses!$F$4:$F$303,$Q13,Dépenses!$G$4:$G$303,Paramètres!$B$4,Dépenses!$C$4:$C$303,"Consommables")</f>
        <v>0</v>
      </c>
      <c r="J13" s="20" t="n">
        <f aca="false">SUMIFS(Dépenses!$E$4:$E$303,Dépenses!$F$4:$F$303,$Q13,Dépenses!$G$4:$G$303,Paramètres!$B$4,Dépenses!$C$4:$C$303,"Électricité")</f>
        <v>0</v>
      </c>
      <c r="K13" s="20" t="n">
        <f aca="false">SUMIFS(Dépenses!$E$4:$E$303,Dépenses!$F$4:$F$303,$Q13,Dépenses!$G$4:$G$303,Paramètres!$B$4,Dépenses!$C$4:$C$303,"Eau")</f>
        <v>0</v>
      </c>
      <c r="L13" s="20" t="n">
        <f aca="false">SUMIFS(Dépenses!$E$4:$E$303,Dépenses!$F$4:$F$303,$Q13,Dépenses!$G$4:$G$303,Paramètres!$B$4,Dépenses!$C$4:$C$303,"Publicité")</f>
        <v>0</v>
      </c>
      <c r="M13" s="20" t="n">
        <f aca="false">SUMIFS(Dépenses!$E$4:$E$303,Dépenses!$F$4:$F$303,$Q13,Dépenses!$G$4:$G$303,Paramètres!$B$4,Dépenses!$C$4:$C$303,"Autre")</f>
        <v>0</v>
      </c>
      <c r="N13" s="20" t="n">
        <f aca="false">SUM(H13:M13)</f>
        <v>0</v>
      </c>
      <c r="O13" s="20" t="n">
        <f aca="false">F13-N13</f>
        <v>0</v>
      </c>
      <c r="P13" s="21" t="str">
        <f aca="false">IF($Q13=1,"",IF(D12=0,"",D13/D12-1))</f>
        <v/>
      </c>
      <c r="Q13" s="0" t="n">
        <v>10</v>
      </c>
    </row>
    <row r="14" customFormat="false" ht="15" hidden="false" customHeight="false" outlineLevel="0" collapsed="false">
      <c r="A14" s="14" t="s">
        <v>124</v>
      </c>
      <c r="B14" s="14" t="n">
        <f aca="false">SUMIFS(Réservations!$H$4:$H$303,Réservations!$T$4:$T$303,$Q14,Réservations!$U$4:$U$303,Paramètres!$B$4,Réservations!$P$4:$P$303,"&lt;&gt;Annulée")</f>
        <v>0</v>
      </c>
      <c r="C14" s="21" t="n">
        <f aca="false">IF(Paramètres!$B$20=0,0,B14/(DAY(DATE(Paramètres!$B$4,$Q14+1,0))*Paramètres!$B$20))</f>
        <v>0</v>
      </c>
      <c r="D14" s="20" t="n">
        <f aca="false">SUMIFS(Réservations!$J$4:$J$303,Réservations!$T$4:$T$303,$Q14,Réservations!$U$4:$U$303,Paramètres!$B$4,Réservations!$P$4:$P$303,"&lt;&gt;Annulée")</f>
        <v>0</v>
      </c>
      <c r="E14" s="20" t="n">
        <f aca="false">SUMIFS(Réservations!$L$4:$L$303,Réservations!$T$4:$T$303,$Q14,Réservations!$U$4:$U$303,Paramètres!$B$4,Réservations!$P$4:$P$303,"&lt;&gt;Annulée")</f>
        <v>0</v>
      </c>
      <c r="F14" s="20" t="n">
        <f aca="false">SUMIFS(Réservations!$N$4:$N$303,Réservations!$T$4:$T$303,$Q14,Réservations!$U$4:$U$303,Paramètres!$B$4,Réservations!$P$4:$P$303,"&lt;&gt;Annulée")</f>
        <v>0</v>
      </c>
      <c r="G14" s="20" t="n">
        <f aca="false">SUMIFS(Réservations!$O$4:$O$303,Réservations!$T$4:$T$303,$Q14,Réservations!$U$4:$U$303,Paramètres!$B$4,Réservations!$P$4:$P$303,"&lt;&gt;Annulée")</f>
        <v>0</v>
      </c>
      <c r="H14" s="20" t="n">
        <f aca="false">SUMIFS(Dépenses!$E$4:$E$303,Dépenses!$F$4:$F$303,$Q14,Dépenses!$G$4:$G$303,Paramètres!$B$4,Dépenses!$C$4:$C$303,"Maintenance")</f>
        <v>0</v>
      </c>
      <c r="I14" s="20" t="n">
        <f aca="false">SUMIFS(Dépenses!$E$4:$E$303,Dépenses!$F$4:$F$303,$Q14,Dépenses!$G$4:$G$303,Paramètres!$B$4,Dépenses!$C$4:$C$303,"Consommables")</f>
        <v>0</v>
      </c>
      <c r="J14" s="20" t="n">
        <f aca="false">SUMIFS(Dépenses!$E$4:$E$303,Dépenses!$F$4:$F$303,$Q14,Dépenses!$G$4:$G$303,Paramètres!$B$4,Dépenses!$C$4:$C$303,"Électricité")</f>
        <v>0</v>
      </c>
      <c r="K14" s="20" t="n">
        <f aca="false">SUMIFS(Dépenses!$E$4:$E$303,Dépenses!$F$4:$F$303,$Q14,Dépenses!$G$4:$G$303,Paramètres!$B$4,Dépenses!$C$4:$C$303,"Eau")</f>
        <v>0</v>
      </c>
      <c r="L14" s="20" t="n">
        <f aca="false">SUMIFS(Dépenses!$E$4:$E$303,Dépenses!$F$4:$F$303,$Q14,Dépenses!$G$4:$G$303,Paramètres!$B$4,Dépenses!$C$4:$C$303,"Publicité")</f>
        <v>0</v>
      </c>
      <c r="M14" s="20" t="n">
        <f aca="false">SUMIFS(Dépenses!$E$4:$E$303,Dépenses!$F$4:$F$303,$Q14,Dépenses!$G$4:$G$303,Paramètres!$B$4,Dépenses!$C$4:$C$303,"Autre")</f>
        <v>0</v>
      </c>
      <c r="N14" s="20" t="n">
        <f aca="false">SUM(H14:M14)</f>
        <v>0</v>
      </c>
      <c r="O14" s="20" t="n">
        <f aca="false">F14-N14</f>
        <v>0</v>
      </c>
      <c r="P14" s="21" t="str">
        <f aca="false">IF($Q14=1,"",IF(D13=0,"",D14/D13-1))</f>
        <v/>
      </c>
      <c r="Q14" s="0" t="n">
        <v>11</v>
      </c>
    </row>
    <row r="15" customFormat="false" ht="15" hidden="false" customHeight="false" outlineLevel="0" collapsed="false">
      <c r="A15" s="14" t="s">
        <v>125</v>
      </c>
      <c r="B15" s="14" t="n">
        <f aca="false">SUMIFS(Réservations!$H$4:$H$303,Réservations!$T$4:$T$303,$Q15,Réservations!$U$4:$U$303,Paramètres!$B$4,Réservations!$P$4:$P$303,"&lt;&gt;Annulée")</f>
        <v>0</v>
      </c>
      <c r="C15" s="21" t="n">
        <f aca="false">IF(Paramètres!$B$20=0,0,B15/(DAY(DATE(Paramètres!$B$4,$Q15+1,0))*Paramètres!$B$20))</f>
        <v>0</v>
      </c>
      <c r="D15" s="20" t="n">
        <f aca="false">SUMIFS(Réservations!$J$4:$J$303,Réservations!$T$4:$T$303,$Q15,Réservations!$U$4:$U$303,Paramètres!$B$4,Réservations!$P$4:$P$303,"&lt;&gt;Annulée")</f>
        <v>0</v>
      </c>
      <c r="E15" s="20" t="n">
        <f aca="false">SUMIFS(Réservations!$L$4:$L$303,Réservations!$T$4:$T$303,$Q15,Réservations!$U$4:$U$303,Paramètres!$B$4,Réservations!$P$4:$P$303,"&lt;&gt;Annulée")</f>
        <v>0</v>
      </c>
      <c r="F15" s="20" t="n">
        <f aca="false">SUMIFS(Réservations!$N$4:$N$303,Réservations!$T$4:$T$303,$Q15,Réservations!$U$4:$U$303,Paramètres!$B$4,Réservations!$P$4:$P$303,"&lt;&gt;Annulée")</f>
        <v>0</v>
      </c>
      <c r="G15" s="20" t="n">
        <f aca="false">SUMIFS(Réservations!$O$4:$O$303,Réservations!$T$4:$T$303,$Q15,Réservations!$U$4:$U$303,Paramètres!$B$4,Réservations!$P$4:$P$303,"&lt;&gt;Annulée")</f>
        <v>0</v>
      </c>
      <c r="H15" s="20" t="n">
        <f aca="false">SUMIFS(Dépenses!$E$4:$E$303,Dépenses!$F$4:$F$303,$Q15,Dépenses!$G$4:$G$303,Paramètres!$B$4,Dépenses!$C$4:$C$303,"Maintenance")</f>
        <v>0</v>
      </c>
      <c r="I15" s="20" t="n">
        <f aca="false">SUMIFS(Dépenses!$E$4:$E$303,Dépenses!$F$4:$F$303,$Q15,Dépenses!$G$4:$G$303,Paramètres!$B$4,Dépenses!$C$4:$C$303,"Consommables")</f>
        <v>0</v>
      </c>
      <c r="J15" s="20" t="n">
        <f aca="false">SUMIFS(Dépenses!$E$4:$E$303,Dépenses!$F$4:$F$303,$Q15,Dépenses!$G$4:$G$303,Paramètres!$B$4,Dépenses!$C$4:$C$303,"Électricité")</f>
        <v>0</v>
      </c>
      <c r="K15" s="20" t="n">
        <f aca="false">SUMIFS(Dépenses!$E$4:$E$303,Dépenses!$F$4:$F$303,$Q15,Dépenses!$G$4:$G$303,Paramètres!$B$4,Dépenses!$C$4:$C$303,"Eau")</f>
        <v>0</v>
      </c>
      <c r="L15" s="20" t="n">
        <f aca="false">SUMIFS(Dépenses!$E$4:$E$303,Dépenses!$F$4:$F$303,$Q15,Dépenses!$G$4:$G$303,Paramètres!$B$4,Dépenses!$C$4:$C$303,"Publicité")</f>
        <v>0</v>
      </c>
      <c r="M15" s="20" t="n">
        <f aca="false">SUMIFS(Dépenses!$E$4:$E$303,Dépenses!$F$4:$F$303,$Q15,Dépenses!$G$4:$G$303,Paramètres!$B$4,Dépenses!$C$4:$C$303,"Autre")</f>
        <v>0</v>
      </c>
      <c r="N15" s="20" t="n">
        <f aca="false">SUM(H15:M15)</f>
        <v>0</v>
      </c>
      <c r="O15" s="20" t="n">
        <f aca="false">F15-N15</f>
        <v>0</v>
      </c>
      <c r="P15" s="21" t="str">
        <f aca="false">IF($Q15=1,"",IF(D14=0,"",D15/D14-1))</f>
        <v/>
      </c>
      <c r="Q15" s="0" t="n">
        <v>12</v>
      </c>
    </row>
    <row r="16" customFormat="false" ht="15" hidden="false" customHeight="false" outlineLevel="0" collapsed="false">
      <c r="A16" s="23" t="s">
        <v>126</v>
      </c>
      <c r="B16" s="24" t="n">
        <f aca="false">SUM(B4:B15)</f>
        <v>8</v>
      </c>
      <c r="C16" s="25" t="n">
        <f aca="false">IF(Paramètres!$B$20=0,0,B16/(365*Paramètres!$B$20))</f>
        <v>0.0219178082191781</v>
      </c>
      <c r="D16" s="26" t="n">
        <f aca="false">SUM(D4:D15)</f>
        <v>5400</v>
      </c>
      <c r="E16" s="26" t="n">
        <f aca="false">SUM(E4:E15)</f>
        <v>498</v>
      </c>
      <c r="F16" s="26" t="n">
        <f aca="false">SUM(F4:F15)</f>
        <v>980.4</v>
      </c>
      <c r="G16" s="26" t="n">
        <f aca="false">SUM(G4:G15)</f>
        <v>3921.6</v>
      </c>
      <c r="H16" s="26" t="n">
        <f aca="false">SUM(H4:H15)</f>
        <v>0</v>
      </c>
      <c r="I16" s="26" t="n">
        <f aca="false">SUM(I4:I15)</f>
        <v>180</v>
      </c>
      <c r="J16" s="26" t="n">
        <f aca="false">SUM(J4:J15)</f>
        <v>350</v>
      </c>
      <c r="K16" s="26" t="n">
        <f aca="false">SUM(K4:K15)</f>
        <v>0</v>
      </c>
      <c r="L16" s="26" t="n">
        <f aca="false">SUM(L4:L15)</f>
        <v>0</v>
      </c>
      <c r="M16" s="26" t="n">
        <f aca="false">SUM(M4:M15)</f>
        <v>0</v>
      </c>
      <c r="N16" s="26" t="n">
        <f aca="false">SUM(N4:N15)</f>
        <v>530</v>
      </c>
      <c r="O16" s="26" t="n">
        <f aca="false">SUM(O4:O15)</f>
        <v>450.4</v>
      </c>
      <c r="P16" s="26"/>
    </row>
  </sheetData>
  <sheetProtection sheet="true" formatCells="false" formatColumns="false" formatRows="false" sort="false" autoFilter="false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30" hidden="false" customHeight="true" outlineLevel="0" collapsed="false">
      <c r="A1" s="1" t="s">
        <v>127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128</v>
      </c>
      <c r="B2" s="2"/>
      <c r="C2" s="2"/>
      <c r="D2" s="2"/>
      <c r="E2" s="2"/>
    </row>
    <row r="4" customFormat="false" ht="15" hidden="false" customHeight="false" outlineLevel="0" collapsed="false">
      <c r="A4" s="27" t="s">
        <v>129</v>
      </c>
      <c r="B4" s="28" t="s">
        <v>130</v>
      </c>
      <c r="C4" s="28"/>
      <c r="D4" s="28"/>
      <c r="E4" s="28"/>
    </row>
    <row r="6" customFormat="false" ht="15" hidden="false" customHeight="false" outlineLevel="0" collapsed="false">
      <c r="A6" s="27" t="s">
        <v>131</v>
      </c>
      <c r="B6" s="16" t="s">
        <v>132</v>
      </c>
    </row>
    <row r="7" customFormat="false" ht="15" hidden="false" customHeight="false" outlineLevel="0" collapsed="false">
      <c r="A7" s="27" t="s">
        <v>133</v>
      </c>
      <c r="B7" s="15" t="n">
        <f aca="true">TODAY()</f>
        <v>46224</v>
      </c>
    </row>
    <row r="8" customFormat="false" ht="15" hidden="false" customHeight="false" outlineLevel="0" collapsed="false">
      <c r="A8" s="27" t="s">
        <v>134</v>
      </c>
      <c r="B8" s="16" t="s">
        <v>49</v>
      </c>
    </row>
    <row r="9" customFormat="false" ht="15" hidden="false" customHeight="false" outlineLevel="0" collapsed="false">
      <c r="A9" s="27" t="s">
        <v>135</v>
      </c>
      <c r="B9" s="16" t="n">
        <v>7</v>
      </c>
    </row>
    <row r="10" customFormat="false" ht="15" hidden="false" customHeight="false" outlineLevel="0" collapsed="false">
      <c r="A10" s="27" t="s">
        <v>47</v>
      </c>
      <c r="B10" s="16" t="n">
        <v>2026</v>
      </c>
    </row>
    <row r="12" customFormat="false" ht="15" hidden="false" customHeight="false" outlineLevel="0" collapsed="false">
      <c r="A12" s="27" t="s">
        <v>136</v>
      </c>
      <c r="B12" s="29" t="str">
        <f aca="false">IFERROR(INDEX(Propriétaires!$B$4:$B$13,MATCH($B$8,Propriétaires!$A$4:$A$13,0)),"")</f>
        <v>Nom du propriétaire (exemple)</v>
      </c>
    </row>
    <row r="13" customFormat="false" ht="15" hidden="false" customHeight="false" outlineLevel="0" collapsed="false">
      <c r="A13" s="27" t="s">
        <v>137</v>
      </c>
      <c r="B13" s="29" t="str">
        <f aca="false">IFERROR(INDEX(Propriétaires!$C$4:$C$13,MATCH($B$8,Propriétaires!$A$4:$A$13,0)),"")</f>
        <v>+212 6 11 11 11 11</v>
      </c>
    </row>
    <row r="14" customFormat="false" ht="15" hidden="false" customHeight="false" outlineLevel="0" collapsed="false">
      <c r="A14" s="27" t="s">
        <v>138</v>
      </c>
      <c r="B14" s="29" t="str">
        <f aca="false">IFERROR(INDEX(Propriétaires!$D$4:$D$13,MATCH($B$8,Propriétaires!$A$4:$A$13,0)),"")</f>
        <v>proprietaire@email.com</v>
      </c>
    </row>
    <row r="16" customFormat="false" ht="15" hidden="false" customHeight="true" outlineLevel="0" collapsed="false">
      <c r="A16" s="6" t="s">
        <v>139</v>
      </c>
      <c r="B16" s="6"/>
      <c r="C16" s="6"/>
      <c r="D16" s="6"/>
      <c r="E16" s="6" t="s">
        <v>68</v>
      </c>
    </row>
    <row r="17" customFormat="false" ht="15" hidden="false" customHeight="false" outlineLevel="0" collapsed="false">
      <c r="A17" s="14" t="s">
        <v>140</v>
      </c>
      <c r="B17" s="14"/>
      <c r="C17" s="14"/>
      <c r="D17" s="14"/>
      <c r="E17" s="20" t="n">
        <f aca="false">SUMIFS(Réservations!$J$4:$J$303,Réservations!$B$4:$B$303,$B$8,Réservations!$T$4:$T$303,$B$9,Réservations!$U$4:$U$303,$B$10,Réservations!$P$4:$P$303,"&lt;&gt;Annulée")</f>
        <v>5400</v>
      </c>
    </row>
    <row r="18" customFormat="false" ht="15" hidden="false" customHeight="false" outlineLevel="0" collapsed="false">
      <c r="A18" s="14" t="s">
        <v>141</v>
      </c>
      <c r="B18" s="14"/>
      <c r="C18" s="14"/>
      <c r="D18" s="14"/>
      <c r="E18" s="20" t="n">
        <f aca="false">-SUMIFS(Réservations!$L$4:$L$303,Réservations!$B$4:$B$303,$B$8,Réservations!$T$4:$T$303,$B$9,Réservations!$U$4:$U$303,$B$10,Réservations!$P$4:$P$303,"&lt;&gt;Annulée")</f>
        <v>-498</v>
      </c>
    </row>
    <row r="19" customFormat="false" ht="15" hidden="false" customHeight="false" outlineLevel="0" collapsed="false">
      <c r="A19" s="14" t="s">
        <v>142</v>
      </c>
      <c r="B19" s="14"/>
      <c r="C19" s="14"/>
      <c r="D19" s="14"/>
      <c r="E19" s="20" t="n">
        <f aca="false">-SUMIFS(Réservations!$N$4:$N$303,Réservations!$B$4:$B$303,$B$8,Réservations!$T$4:$T$303,$B$9,Réservations!$U$4:$U$303,$B$10,Réservations!$P$4:$P$303,"&lt;&gt;Annulée")</f>
        <v>-980.4</v>
      </c>
    </row>
    <row r="20" customFormat="false" ht="15" hidden="false" customHeight="false" outlineLevel="0" collapsed="false">
      <c r="A20" s="14" t="s">
        <v>143</v>
      </c>
      <c r="B20" s="14"/>
      <c r="C20" s="14"/>
      <c r="D20" s="14"/>
      <c r="E20" s="20" t="n">
        <f aca="false">-SUMIFS(Dépenses!$E$4:$E$303,Dépenses!$B$4:$B$303,$B$8,Dépenses!$F$4:$F$303,$B$9,Dépenses!$G$4:$G$303,$B$10)</f>
        <v>-530</v>
      </c>
    </row>
    <row r="22" customFormat="false" ht="24" hidden="false" customHeight="true" outlineLevel="0" collapsed="false">
      <c r="A22" s="30" t="s">
        <v>144</v>
      </c>
      <c r="B22" s="30"/>
      <c r="C22" s="30"/>
      <c r="D22" s="30"/>
      <c r="E22" s="31" t="n">
        <f aca="false">E17+E18+E19+E20</f>
        <v>3391.6</v>
      </c>
    </row>
    <row r="24" customFormat="false" ht="15" hidden="false" customHeight="false" outlineLevel="0" collapsed="false">
      <c r="A24" s="32" t="s">
        <v>145</v>
      </c>
    </row>
    <row r="26" customFormat="false" ht="15" hidden="false" customHeight="false" outlineLevel="0" collapsed="false">
      <c r="A26" s="33" t="s">
        <v>146</v>
      </c>
    </row>
  </sheetData>
  <sheetProtection sheet="true" formatCells="false" formatColumns="false" formatRows="false" sort="false" autoFilter="false"/>
  <mergeCells count="9">
    <mergeCell ref="A1:E1"/>
    <mergeCell ref="A2:E2"/>
    <mergeCell ref="B4:E4"/>
    <mergeCell ref="A16:D16"/>
    <mergeCell ref="A17:D17"/>
    <mergeCell ref="A18:D18"/>
    <mergeCell ref="A19:D19"/>
    <mergeCell ref="A20:D20"/>
    <mergeCell ref="A22:D22"/>
  </mergeCells>
  <dataValidations count="1">
    <dataValidation allowBlank="true" errorStyle="stop" operator="between" showDropDown="false" showErrorMessage="false" showInputMessage="false" sqref="B8" type="list">
      <formula1>Paramètres!$A$9:$A$18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147</v>
      </c>
      <c r="B1" s="1"/>
      <c r="C1" s="1"/>
      <c r="D1" s="1"/>
    </row>
    <row r="2" customFormat="false" ht="15" hidden="false" customHeight="false" outlineLevel="0" collapsed="false">
      <c r="A2" s="2" t="s">
        <v>148</v>
      </c>
      <c r="B2" s="2"/>
      <c r="C2" s="2"/>
      <c r="D2" s="2"/>
    </row>
    <row r="4" customFormat="false" ht="15" hidden="false" customHeight="false" outlineLevel="0" collapsed="false">
      <c r="A4" s="27" t="s">
        <v>135</v>
      </c>
      <c r="B4" s="16" t="n">
        <v>7</v>
      </c>
    </row>
    <row r="5" customFormat="false" ht="15" hidden="false" customHeight="false" outlineLevel="0" collapsed="false">
      <c r="A5" s="27" t="s">
        <v>47</v>
      </c>
      <c r="B5" s="16" t="n">
        <v>2026</v>
      </c>
    </row>
    <row r="7" customFormat="false" ht="15" hidden="false" customHeight="false" outlineLevel="0" collapsed="false">
      <c r="A7" s="34" t="s">
        <v>149</v>
      </c>
      <c r="B7" s="34"/>
    </row>
    <row r="8" customFormat="false" ht="15" hidden="false" customHeight="false" outlineLevel="0" collapsed="false">
      <c r="A8" s="14" t="s">
        <v>150</v>
      </c>
      <c r="B8" s="35" t="n">
        <f aca="false">COUNTIFS(Réservations!$T$4:$T$303,$B$4,Réservations!$U$4:$U$303,$B$5,Réservations!$P$4:$P$303,"&lt;&gt;Annulée")</f>
        <v>2</v>
      </c>
    </row>
    <row r="9" customFormat="false" ht="15" hidden="false" customHeight="false" outlineLevel="0" collapsed="false">
      <c r="A9" s="14" t="s">
        <v>151</v>
      </c>
      <c r="B9" s="35" t="n">
        <f aca="false">SUMIFS(Réservations!$H$4:$H$303,Réservations!$T$4:$T$303,$B$4,Réservations!$U$4:$U$303,$B$5,Réservations!$P$4:$P$303,"&lt;&gt;Annulée")</f>
        <v>8</v>
      </c>
    </row>
    <row r="10" customFormat="false" ht="15" hidden="false" customHeight="false" outlineLevel="0" collapsed="false">
      <c r="A10" s="14" t="s">
        <v>152</v>
      </c>
      <c r="B10" s="36" t="n">
        <f aca="false">IF(Paramètres!$B$20=0,0,B9/(DAY(DATE($B$5,$B$4+1,0))*Paramètres!$B$20))</f>
        <v>0.258064516129032</v>
      </c>
    </row>
    <row r="11" customFormat="false" ht="15" hidden="false" customHeight="false" outlineLevel="0" collapsed="false">
      <c r="A11" s="14" t="s">
        <v>153</v>
      </c>
      <c r="B11" s="35" t="n">
        <f aca="false">COUNTIFS(Réservations!$T$4:$T$303,$B$4,Réservations!$U$4:$U$303,$B$5,Réservations!$P$4:$P$303,"Annulée")</f>
        <v>0</v>
      </c>
    </row>
    <row r="13" customFormat="false" ht="15" hidden="false" customHeight="false" outlineLevel="0" collapsed="false">
      <c r="A13" s="34" t="s">
        <v>154</v>
      </c>
      <c r="B13" s="34"/>
    </row>
    <row r="14" customFormat="false" ht="15" hidden="false" customHeight="false" outlineLevel="0" collapsed="false">
      <c r="A14" s="14" t="s">
        <v>155</v>
      </c>
      <c r="B14" s="37" t="n">
        <f aca="false">SUMIFS(Réservations!$J$4:$J$303,Réservations!$T$4:$T$303,$B$4,Réservations!$U$4:$U$303,$B$5,Réservations!$P$4:$P$303,"&lt;&gt;Annulée")</f>
        <v>5400</v>
      </c>
    </row>
    <row r="15" customFormat="false" ht="15" hidden="false" customHeight="false" outlineLevel="0" collapsed="false">
      <c r="A15" s="14" t="s">
        <v>156</v>
      </c>
      <c r="B15" s="37" t="n">
        <f aca="false">SUMIFS(Réservations!$L$4:$L$303,Réservations!$T$4:$T$303,$B$4,Réservations!$U$4:$U$303,$B$5,Réservations!$P$4:$P$303,"&lt;&gt;Annulée")</f>
        <v>498</v>
      </c>
    </row>
    <row r="16" customFormat="false" ht="15" hidden="false" customHeight="false" outlineLevel="0" collapsed="false">
      <c r="A16" s="14" t="s">
        <v>157</v>
      </c>
      <c r="B16" s="37" t="n">
        <f aca="false">SUMIFS(Réservations!$N$4:$N$303,Réservations!$T$4:$T$303,$B$4,Réservations!$U$4:$U$303,$B$5,Réservations!$P$4:$P$303,"&lt;&gt;Annulée")</f>
        <v>980.4</v>
      </c>
    </row>
    <row r="17" customFormat="false" ht="15" hidden="false" customHeight="false" outlineLevel="0" collapsed="false">
      <c r="A17" s="14" t="s">
        <v>158</v>
      </c>
      <c r="B17" s="37" t="n">
        <f aca="false">SUMIFS(Réservations!$O$4:$O$303,Réservations!$T$4:$T$303,$B$4,Réservations!$U$4:$U$303,$B$5,Réservations!$P$4:$P$303,"&lt;&gt;Annulée")</f>
        <v>3921.6</v>
      </c>
    </row>
    <row r="18" customFormat="false" ht="15" hidden="false" customHeight="false" outlineLevel="0" collapsed="false">
      <c r="A18" s="14" t="s">
        <v>111</v>
      </c>
      <c r="B18" s="37" t="n">
        <f aca="false">SUMIFS(Dépenses!$E$4:$E$303,Dépenses!$F$4:$F$303,$B$4,Dépenses!$G$4:$G$303,$B$5)</f>
        <v>530</v>
      </c>
    </row>
    <row r="19" customFormat="false" ht="15" hidden="false" customHeight="false" outlineLevel="0" collapsed="false">
      <c r="A19" s="14" t="s">
        <v>159</v>
      </c>
      <c r="B19" s="37" t="n">
        <f aca="false">B16-B18</f>
        <v>450.4</v>
      </c>
    </row>
    <row r="21" customFormat="false" ht="15" hidden="false" customHeight="false" outlineLevel="0" collapsed="false">
      <c r="A21" s="34" t="s">
        <v>160</v>
      </c>
      <c r="B21" s="34"/>
    </row>
    <row r="22" customFormat="false" ht="15" hidden="false" customHeight="false" outlineLevel="0" collapsed="false">
      <c r="A22" s="14" t="s">
        <v>161</v>
      </c>
      <c r="B22" s="35" t="n">
        <f aca="false">COUNTIFS(Ménage!$D$4:$D$203,"Fait",Ménage!$A$4:$A$203,"&gt;="&amp;DATE($B$5,$B$4,1),Ménage!$A$4:$A$203,"&lt;"&amp;DATE($B$5,$B$4+1,1))</f>
        <v>1</v>
      </c>
    </row>
    <row r="23" customFormat="false" ht="15" hidden="false" customHeight="false" outlineLevel="0" collapsed="false">
      <c r="A23" s="14" t="s">
        <v>162</v>
      </c>
      <c r="B23" s="35" t="n">
        <f aca="false">COUNTIFS(Ménage!$D$4:$D$203,"En attente",Ménage!$A$4:$A$203,"&gt;="&amp;DATE($B$5,$B$4,1),Ménage!$A$4:$A$203,"&lt;"&amp;DATE($B$5,$B$4+1,1))</f>
        <v>1</v>
      </c>
    </row>
    <row r="24" customFormat="false" ht="15" hidden="false" customHeight="false" outlineLevel="0" collapsed="false">
      <c r="A24" s="14" t="s">
        <v>163</v>
      </c>
      <c r="B24" s="35" t="n">
        <f aca="false">COUNTIF(Incidents!$E$4:$E$103,"Ouvert")+COUNTIF(Incidents!$E$4:$E$103,"En cours")</f>
        <v>1</v>
      </c>
    </row>
    <row r="25" customFormat="false" ht="15" hidden="false" customHeight="false" outlineLevel="0" collapsed="false">
      <c r="A25" s="14" t="s">
        <v>164</v>
      </c>
      <c r="B25" s="35" t="n">
        <f aca="false">COUNTIFS(Incidents!$E$4:$E$103,"Résolu",Incidents!$G$4:$G$103,"&gt;="&amp;DATE($B$5,$B$4,1),Incidents!$G$4:$G$103,"&lt;"&amp;DATE($B$5,$B$4+1,1))</f>
        <v>0</v>
      </c>
    </row>
  </sheetData>
  <sheetProtection sheet="true" formatCells="false" formatColumns="false" formatRows="false" sort="false" autoFilter="false"/>
  <mergeCells count="5">
    <mergeCell ref="A1:D1"/>
    <mergeCell ref="A2:D2"/>
    <mergeCell ref="A7:B7"/>
    <mergeCell ref="A13:B13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6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7" t="s">
        <v>166</v>
      </c>
      <c r="B4" s="16" t="n">
        <v>2026</v>
      </c>
    </row>
    <row r="5" customFormat="false" ht="15" hidden="false" customHeight="false" outlineLevel="0" collapsed="false">
      <c r="A5" s="27" t="s">
        <v>167</v>
      </c>
      <c r="B5" s="16" t="s">
        <v>168</v>
      </c>
    </row>
    <row r="7" customFormat="false" ht="15" hidden="false" customHeight="false" outlineLevel="0" collapsed="false">
      <c r="A7" s="27" t="s">
        <v>169</v>
      </c>
      <c r="D7" s="27" t="s">
        <v>170</v>
      </c>
      <c r="G7" s="27" t="s">
        <v>171</v>
      </c>
    </row>
    <row r="8" customFormat="false" ht="15" hidden="false" customHeight="false" outlineLevel="0" collapsed="false">
      <c r="A8" s="6" t="s">
        <v>21</v>
      </c>
      <c r="B8" s="6" t="s">
        <v>172</v>
      </c>
      <c r="D8" s="6" t="s">
        <v>29</v>
      </c>
      <c r="E8" s="6" t="s">
        <v>173</v>
      </c>
      <c r="G8" s="6" t="s">
        <v>174</v>
      </c>
      <c r="H8" s="6" t="s">
        <v>43</v>
      </c>
      <c r="I8" s="6" t="s">
        <v>44</v>
      </c>
      <c r="J8" s="6" t="s">
        <v>175</v>
      </c>
      <c r="K8" s="6" t="s">
        <v>78</v>
      </c>
      <c r="L8" s="6" t="s">
        <v>176</v>
      </c>
    </row>
    <row r="9" customFormat="false" ht="15" hidden="false" customHeight="false" outlineLevel="0" collapsed="false">
      <c r="A9" s="16" t="s">
        <v>49</v>
      </c>
      <c r="B9" s="16" t="s">
        <v>54</v>
      </c>
      <c r="D9" s="14" t="s">
        <v>50</v>
      </c>
      <c r="E9" s="22" t="n">
        <v>0.03</v>
      </c>
      <c r="G9" s="14" t="s">
        <v>61</v>
      </c>
      <c r="H9" s="14" t="s">
        <v>54</v>
      </c>
      <c r="I9" s="14" t="s">
        <v>55</v>
      </c>
      <c r="J9" s="14" t="s">
        <v>107</v>
      </c>
      <c r="K9" s="14" t="s">
        <v>177</v>
      </c>
      <c r="L9" s="14" t="s">
        <v>178</v>
      </c>
    </row>
    <row r="10" customFormat="false" ht="15" hidden="false" customHeight="false" outlineLevel="0" collapsed="false">
      <c r="A10" s="16" t="s">
        <v>91</v>
      </c>
      <c r="B10" s="16" t="s">
        <v>62</v>
      </c>
      <c r="D10" s="14" t="s">
        <v>58</v>
      </c>
      <c r="E10" s="22" t="n">
        <v>0.15</v>
      </c>
      <c r="G10" s="14" t="s">
        <v>53</v>
      </c>
      <c r="H10" s="14" t="s">
        <v>62</v>
      </c>
      <c r="I10" s="14" t="s">
        <v>63</v>
      </c>
      <c r="J10" s="14" t="s">
        <v>71</v>
      </c>
      <c r="K10" s="14" t="s">
        <v>82</v>
      </c>
      <c r="L10" s="14" t="s">
        <v>83</v>
      </c>
    </row>
    <row r="11" customFormat="false" ht="15" hidden="false" customHeight="false" outlineLevel="0" collapsed="false">
      <c r="A11" s="16" t="s">
        <v>92</v>
      </c>
      <c r="B11" s="16" t="s">
        <v>62</v>
      </c>
      <c r="D11" s="14" t="s">
        <v>179</v>
      </c>
      <c r="E11" s="22" t="n">
        <v>0</v>
      </c>
      <c r="G11" s="14" t="s">
        <v>180</v>
      </c>
      <c r="J11" s="14" t="s">
        <v>69</v>
      </c>
      <c r="K11" s="14" t="s">
        <v>181</v>
      </c>
      <c r="L11" s="14" t="s">
        <v>182</v>
      </c>
    </row>
    <row r="12" customFormat="false" ht="15" hidden="false" customHeight="false" outlineLevel="0" collapsed="false">
      <c r="A12" s="16" t="s">
        <v>93</v>
      </c>
      <c r="B12" s="16" t="s">
        <v>62</v>
      </c>
      <c r="J12" s="14" t="s">
        <v>108</v>
      </c>
    </row>
    <row r="13" customFormat="false" ht="15" hidden="false" customHeight="false" outlineLevel="0" collapsed="false">
      <c r="A13" s="16" t="s">
        <v>94</v>
      </c>
      <c r="B13" s="16" t="s">
        <v>62</v>
      </c>
      <c r="J13" s="14" t="s">
        <v>109</v>
      </c>
    </row>
    <row r="14" customFormat="false" ht="15" hidden="false" customHeight="false" outlineLevel="0" collapsed="false">
      <c r="A14" s="16" t="s">
        <v>95</v>
      </c>
      <c r="B14" s="16" t="s">
        <v>62</v>
      </c>
      <c r="J14" s="14" t="s">
        <v>110</v>
      </c>
    </row>
    <row r="15" customFormat="false" ht="15" hidden="false" customHeight="false" outlineLevel="0" collapsed="false">
      <c r="A15" s="16" t="s">
        <v>96</v>
      </c>
      <c r="B15" s="16" t="s">
        <v>62</v>
      </c>
    </row>
    <row r="16" customFormat="false" ht="15" hidden="false" customHeight="false" outlineLevel="0" collapsed="false">
      <c r="A16" s="16" t="s">
        <v>97</v>
      </c>
      <c r="B16" s="16" t="s">
        <v>62</v>
      </c>
    </row>
    <row r="17" customFormat="false" ht="15" hidden="false" customHeight="false" outlineLevel="0" collapsed="false">
      <c r="A17" s="16" t="s">
        <v>98</v>
      </c>
      <c r="B17" s="16" t="s">
        <v>62</v>
      </c>
    </row>
    <row r="18" customFormat="false" ht="15" hidden="false" customHeight="false" outlineLevel="0" collapsed="false">
      <c r="A18" s="16" t="s">
        <v>99</v>
      </c>
      <c r="B18" s="16" t="s">
        <v>62</v>
      </c>
    </row>
    <row r="20" customFormat="false" ht="15" hidden="false" customHeight="false" outlineLevel="0" collapsed="false">
      <c r="A20" s="27" t="s">
        <v>183</v>
      </c>
      <c r="B20" s="14" t="n">
        <f aca="false">COUNTIF(B9:B18,"Oui")</f>
        <v>1</v>
      </c>
    </row>
    <row r="22" customFormat="false" ht="15" hidden="false" customHeight="false" outlineLevel="0" collapsed="false">
      <c r="A22" s="27" t="s">
        <v>184</v>
      </c>
    </row>
    <row r="23" customFormat="false" ht="15" hidden="false" customHeight="false" outlineLevel="0" collapsed="false">
      <c r="A23" s="29" t="s">
        <v>185</v>
      </c>
      <c r="B23" s="16" t="n">
        <v>14</v>
      </c>
    </row>
    <row r="24" customFormat="false" ht="15" hidden="false" customHeight="false" outlineLevel="0" collapsed="false">
      <c r="A24" s="29" t="s">
        <v>186</v>
      </c>
      <c r="B24" s="16" t="n">
        <v>1000</v>
      </c>
    </row>
  </sheetData>
  <sheetProtection sheet="true" formatCells="false" formatColumns="false" formatRows="false" sort="false" autoFilter="false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30" hidden="false" customHeight="true" outlineLevel="0" collapsed="false">
      <c r="A1" s="1" t="s">
        <v>187</v>
      </c>
      <c r="B1" s="1"/>
    </row>
    <row r="2" customFormat="false" ht="15" hidden="false" customHeight="false" outlineLevel="0" collapsed="false">
      <c r="A2" s="2" t="s">
        <v>27</v>
      </c>
      <c r="B2" s="2"/>
    </row>
    <row r="4" customFormat="false" ht="15" hidden="false" customHeight="false" outlineLevel="0" collapsed="false">
      <c r="A4" s="29"/>
    </row>
    <row r="5" customFormat="false" ht="15" hidden="false" customHeight="false" outlineLevel="0" collapsed="false">
      <c r="A5" s="38" t="s">
        <v>188</v>
      </c>
    </row>
    <row r="6" customFormat="false" ht="15" hidden="false" customHeight="false" outlineLevel="0" collapsed="false">
      <c r="A6" s="29" t="s">
        <v>189</v>
      </c>
    </row>
    <row r="7" customFormat="false" ht="15" hidden="false" customHeight="false" outlineLevel="0" collapsed="false">
      <c r="A7" s="29" t="s">
        <v>190</v>
      </c>
    </row>
    <row r="8" customFormat="false" ht="15" hidden="false" customHeight="false" outlineLevel="0" collapsed="false">
      <c r="A8" s="29" t="s">
        <v>191</v>
      </c>
    </row>
    <row r="9" customFormat="false" ht="15" hidden="false" customHeight="false" outlineLevel="0" collapsed="false">
      <c r="A9" s="29" t="s">
        <v>192</v>
      </c>
    </row>
    <row r="10" customFormat="false" ht="15" hidden="false" customHeight="false" outlineLevel="0" collapsed="false">
      <c r="A10" s="29"/>
    </row>
    <row r="11" customFormat="false" ht="15" hidden="false" customHeight="false" outlineLevel="0" collapsed="false">
      <c r="A11" s="38" t="s">
        <v>193</v>
      </c>
    </row>
    <row r="12" customFormat="false" ht="15" hidden="false" customHeight="false" outlineLevel="0" collapsed="false">
      <c r="A12" s="29" t="s">
        <v>194</v>
      </c>
    </row>
    <row r="13" customFormat="false" ht="15" hidden="false" customHeight="false" outlineLevel="0" collapsed="false">
      <c r="A13" s="29" t="s">
        <v>195</v>
      </c>
    </row>
    <row r="14" customFormat="false" ht="15" hidden="false" customHeight="false" outlineLevel="0" collapsed="false">
      <c r="A14" s="29" t="s">
        <v>196</v>
      </c>
    </row>
    <row r="15" customFormat="false" ht="15" hidden="false" customHeight="false" outlineLevel="0" collapsed="false">
      <c r="A15" s="29" t="s">
        <v>197</v>
      </c>
    </row>
    <row r="16" customFormat="false" ht="15" hidden="false" customHeight="false" outlineLevel="0" collapsed="false">
      <c r="A16" s="29" t="s">
        <v>198</v>
      </c>
    </row>
    <row r="17" customFormat="false" ht="15" hidden="false" customHeight="false" outlineLevel="0" collapsed="false">
      <c r="A17" s="29"/>
    </row>
    <row r="18" customFormat="false" ht="15" hidden="false" customHeight="false" outlineLevel="0" collapsed="false">
      <c r="A18" s="38" t="s">
        <v>199</v>
      </c>
    </row>
    <row r="19" customFormat="false" ht="15" hidden="false" customHeight="false" outlineLevel="0" collapsed="false">
      <c r="A19" s="29" t="s">
        <v>200</v>
      </c>
    </row>
    <row r="20" customFormat="false" ht="15" hidden="false" customHeight="false" outlineLevel="0" collapsed="false">
      <c r="A20" s="29" t="s">
        <v>201</v>
      </c>
    </row>
    <row r="21" customFormat="false" ht="15" hidden="false" customHeight="false" outlineLevel="0" collapsed="false">
      <c r="A21" s="29"/>
    </row>
    <row r="22" customFormat="false" ht="15" hidden="false" customHeight="false" outlineLevel="0" collapsed="false">
      <c r="A22" s="38" t="s">
        <v>202</v>
      </c>
    </row>
    <row r="23" customFormat="false" ht="15" hidden="false" customHeight="false" outlineLevel="0" collapsed="false">
      <c r="A23" s="29" t="s">
        <v>203</v>
      </c>
    </row>
    <row r="24" customFormat="false" ht="15" hidden="false" customHeight="false" outlineLevel="0" collapsed="false">
      <c r="A24" s="29" t="s">
        <v>204</v>
      </c>
    </row>
    <row r="25" customFormat="false" ht="15" hidden="false" customHeight="false" outlineLevel="0" collapsed="false">
      <c r="A25" s="29"/>
    </row>
    <row r="26" customFormat="false" ht="15" hidden="false" customHeight="false" outlineLevel="0" collapsed="false">
      <c r="A26" s="38" t="s">
        <v>205</v>
      </c>
    </row>
    <row r="27" customFormat="false" ht="15" hidden="false" customHeight="false" outlineLevel="0" collapsed="false">
      <c r="A27" s="29" t="s">
        <v>206</v>
      </c>
    </row>
    <row r="28" customFormat="false" ht="15" hidden="false" customHeight="false" outlineLevel="0" collapsed="false">
      <c r="A28" s="29" t="s">
        <v>207</v>
      </c>
    </row>
    <row r="29" customFormat="false" ht="15" hidden="false" customHeight="false" outlineLevel="0" collapsed="false">
      <c r="A29" s="29"/>
    </row>
    <row r="30" customFormat="false" ht="15" hidden="false" customHeight="false" outlineLevel="0" collapsed="false">
      <c r="A30" s="39" t="s">
        <v>208</v>
      </c>
    </row>
    <row r="31" customFormat="false" ht="15" hidden="false" customHeight="false" outlineLevel="0" collapsed="false">
      <c r="A31" s="39" t="s">
        <v>209</v>
      </c>
    </row>
    <row r="32" customFormat="false" ht="15" hidden="false" customHeight="false" outlineLevel="0" collapsed="false">
      <c r="A32" s="39" t="s">
        <v>210</v>
      </c>
    </row>
    <row r="33" customFormat="false" ht="15" hidden="false" customHeight="false" outlineLevel="0" collapsed="false">
      <c r="A33" s="39" t="s">
        <v>211</v>
      </c>
    </row>
    <row r="34" customFormat="false" ht="15" hidden="false" customHeight="false" outlineLevel="0" collapsed="false">
      <c r="A34" s="39" t="s">
        <v>212</v>
      </c>
    </row>
    <row r="35" customFormat="false" ht="15" hidden="false" customHeight="false" outlineLevel="0" collapsed="false">
      <c r="A35" s="39" t="s">
        <v>213</v>
      </c>
    </row>
    <row r="36" customFormat="false" ht="15" hidden="false" customHeight="false" outlineLevel="0" collapsed="false">
      <c r="A36" s="39" t="s">
        <v>214</v>
      </c>
    </row>
    <row r="37" customFormat="false" ht="15" hidden="false" customHeight="false" outlineLevel="0" collapsed="false">
      <c r="A37" s="39" t="s">
        <v>215</v>
      </c>
    </row>
    <row r="38" customFormat="false" ht="15" hidden="false" customHeight="false" outlineLevel="0" collapsed="false">
      <c r="A38" s="39" t="s">
        <v>216</v>
      </c>
    </row>
    <row r="39" customFormat="false" ht="15" hidden="false" customHeight="false" outlineLevel="0" collapsed="false">
      <c r="A39" s="39" t="s">
        <v>217</v>
      </c>
    </row>
    <row r="40" customFormat="false" ht="15" hidden="false" customHeight="false" outlineLevel="0" collapsed="false">
      <c r="A40" s="39" t="s">
        <v>218</v>
      </c>
    </row>
    <row r="41" customFormat="false" ht="15" hidden="false" customHeight="false" outlineLevel="0" collapsed="false">
      <c r="A41" s="39" t="s">
        <v>219</v>
      </c>
    </row>
    <row r="42" customFormat="false" ht="15" hidden="false" customHeight="false" outlineLevel="0" collapsed="false">
      <c r="A42" s="39" t="s">
        <v>220</v>
      </c>
    </row>
    <row r="43" customFormat="false" ht="15" hidden="false" customHeight="false" outlineLevel="0" collapsed="false">
      <c r="A43" s="39" t="s">
        <v>221</v>
      </c>
    </row>
    <row r="44" customFormat="false" ht="15" hidden="false" customHeight="false" outlineLevel="0" collapsed="false">
      <c r="A44" s="39" t="s">
        <v>222</v>
      </c>
    </row>
    <row r="45" customFormat="false" ht="15" hidden="false" customHeight="false" outlineLevel="0" collapsed="false">
      <c r="A45" s="39" t="s">
        <v>223</v>
      </c>
    </row>
    <row r="46" customFormat="false" ht="15" hidden="false" customHeight="false" outlineLevel="0" collapsed="false">
      <c r="A46" s="39" t="s">
        <v>224</v>
      </c>
    </row>
    <row r="47" customFormat="false" ht="15" hidden="false" customHeight="false" outlineLevel="0" collapsed="false">
      <c r="A47" s="29"/>
    </row>
    <row r="48" customFormat="false" ht="15" hidden="false" customHeight="false" outlineLevel="0" collapsed="false">
      <c r="A48" s="39" t="s">
        <v>225</v>
      </c>
    </row>
    <row r="49" customFormat="false" ht="15" hidden="false" customHeight="false" outlineLevel="0" collapsed="false">
      <c r="A49" s="39" t="s">
        <v>226</v>
      </c>
    </row>
    <row r="50" customFormat="false" ht="15" hidden="false" customHeight="false" outlineLevel="0" collapsed="false">
      <c r="A50" s="39" t="s">
        <v>227</v>
      </c>
    </row>
    <row r="51" customFormat="false" ht="15" hidden="false" customHeight="false" outlineLevel="0" collapsed="false">
      <c r="A51" s="39" t="s">
        <v>228</v>
      </c>
    </row>
    <row r="52" customFormat="false" ht="15" hidden="false" customHeight="false" outlineLevel="0" collapsed="false">
      <c r="A52" s="39" t="s">
        <v>229</v>
      </c>
    </row>
    <row r="53" customFormat="false" ht="15" hidden="false" customHeight="false" outlineLevel="0" collapsed="false">
      <c r="A53" s="39" t="s">
        <v>230</v>
      </c>
    </row>
    <row r="54" customFormat="false" ht="15" hidden="false" customHeight="false" outlineLevel="0" collapsed="false">
      <c r="A54" s="39" t="s">
        <v>224</v>
      </c>
    </row>
    <row r="55" customFormat="false" ht="15" hidden="false" customHeight="false" outlineLevel="0" collapsed="false">
      <c r="A55" s="29"/>
    </row>
    <row r="56" customFormat="false" ht="15" hidden="false" customHeight="false" outlineLevel="0" collapsed="false">
      <c r="A56" s="39" t="s">
        <v>231</v>
      </c>
    </row>
    <row r="57" customFormat="false" ht="15" hidden="false" customHeight="false" outlineLevel="0" collapsed="false">
      <c r="A57" s="39" t="s">
        <v>232</v>
      </c>
    </row>
    <row r="58" customFormat="false" ht="15" hidden="false" customHeight="false" outlineLevel="0" collapsed="false">
      <c r="A58" s="39" t="s">
        <v>227</v>
      </c>
    </row>
    <row r="59" customFormat="false" ht="15" hidden="false" customHeight="false" outlineLevel="0" collapsed="false">
      <c r="A59" s="39" t="s">
        <v>233</v>
      </c>
    </row>
    <row r="60" customFormat="false" ht="15" hidden="false" customHeight="false" outlineLevel="0" collapsed="false">
      <c r="A60" s="39" t="s">
        <v>234</v>
      </c>
    </row>
    <row r="61" customFormat="false" ht="15" hidden="false" customHeight="false" outlineLevel="0" collapsed="false">
      <c r="A61" s="39" t="s">
        <v>235</v>
      </c>
    </row>
    <row r="62" customFormat="false" ht="15" hidden="false" customHeight="false" outlineLevel="0" collapsed="false">
      <c r="A62" s="39" t="s">
        <v>224</v>
      </c>
    </row>
    <row r="63" customFormat="false" ht="15" hidden="false" customHeight="false" outlineLevel="0" collapsed="false">
      <c r="A63" s="29"/>
    </row>
    <row r="64" customFormat="false" ht="15" hidden="false" customHeight="false" outlineLevel="0" collapsed="false">
      <c r="A64" s="38" t="s">
        <v>236</v>
      </c>
    </row>
    <row r="65" customFormat="false" ht="15" hidden="false" customHeight="false" outlineLevel="0" collapsed="false">
      <c r="A65" s="29" t="s">
        <v>237</v>
      </c>
    </row>
  </sheetData>
  <sheetProtection sheet="true" formatCells="false" formatColumns="false" formatRows="false" sort="false" autoFilter="false"/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2026-07-21T10:01:15Z</dcterms:created>
  <dc:creator>openpyxl</dc:creator>
  <dc:description/>
  <dc:language>en-US</dc:language>
  <cp:lastModifiedBy/>
  <dcterms:modified xsi:type="dcterms:W3CDTF">2026-07-21T10:17:05Z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