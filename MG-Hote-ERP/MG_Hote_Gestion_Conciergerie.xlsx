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workbookPassword="C9B6" lockStructure="1"/>
  <bookViews>
    <workbookView visibility="visible" minimized="0" showHorizontalScroll="1" showVerticalScroll="1" showSheetTabs="1" tabRatio="600" firstSheet="0" activeTab="1" autoFilterDateGrouping="1"/>
  </bookViews>
  <sheets>
    <sheet name="Accueil" sheetId="1" state="visible" r:id="rId1"/>
    <sheet name="Tableau de bord" sheetId="2" state="visible" r:id="rId2"/>
    <sheet name="Réservations" sheetId="3" state="visible" r:id="rId3"/>
    <sheet name="Formulaire Réservation" sheetId="4" state="visible" r:id="rId4"/>
    <sheet name="Biens" sheetId="5" state="visible" r:id="rId5"/>
    <sheet name="Propriétaires" sheetId="6" state="visible" r:id="rId6"/>
    <sheet name="Finances" sheetId="7" state="visible" r:id="rId7"/>
    <sheet name="Ménage" sheetId="8" state="visible" r:id="rId8"/>
    <sheet name="Maintenance" sheetId="9" state="visible" r:id="rId9"/>
    <sheet name="Alertes" sheetId="10" state="visible" r:id="rId10"/>
    <sheet name="Facture Propriétaire" sheetId="11" state="visible" r:id="rId11"/>
    <sheet name="Rapport Mensuel" sheetId="12" state="visible" r:id="rId12"/>
    <sheet name="Paramètres" sheetId="13" state="visible" r:id="rId13"/>
  </sheets>
  <definedNames>
    <definedName name="Seuil_Rentabilite">Paramètres!$D$16</definedName>
    <definedName name="Seuil_Vide">Paramètres!$D$17</definedName>
    <definedName name="Commission_Defaut">Paramètres!$D$18</definedName>
    <definedName name="_xlnm._FilterDatabase" localSheetId="2" hidden="1">'Réservations'!$A$4:$T$154</definedName>
    <definedName name="_xlnm._FilterDatabase" localSheetId="6" hidden="1">'Finances'!$A$4:$O$64</definedName>
    <definedName name="_xlnm._FilterDatabase" localSheetId="7" hidden="1">'Ménage'!$A$4:$G$154</definedName>
    <definedName name="_xlnm._FilterDatabase" localSheetId="8" hidden="1">'Maintenance'!$A$4:$I$64</definedName>
    <definedName name="_xlnm.Print_Area" localSheetId="10">'Facture Propriétaire'!$A$1:$G$34</definedName>
    <definedName name="_xlnm.Print_Area" localSheetId="11">'Rapport Mensuel'!$A$1:$G$31</definedName>
  </definedNames>
  <calcPr calcId="124519" fullCalcOnLoad="1"/>
</workbook>
</file>

<file path=xl/styles.xml><?xml version="1.0" encoding="utf-8"?>
<styleSheet xmlns="http://schemas.openxmlformats.org/spreadsheetml/2006/main">
  <numFmts count="3">
    <numFmt numFmtId="164" formatCode="dd/mm/yyyy"/>
    <numFmt numFmtId="165" formatCode="#,##0 MAD"/>
    <numFmt numFmtId="166" formatCode="#,##0 MAD;(#,##0) MAD"/>
  </numFmts>
  <fonts count="15">
    <font>
      <name val="Calibri"/>
      <family val="2"/>
      <color theme="1"/>
      <sz val="11"/>
      <scheme val="minor"/>
    </font>
    <font>
      <name val="Arial"/>
      <b val="1"/>
      <color rgb="00C9A227"/>
      <sz val="14"/>
    </font>
    <font>
      <name val="Arial"/>
      <i val="1"/>
      <color rgb="001A1A1A"/>
      <sz val="10"/>
    </font>
    <font>
      <name val="Arial"/>
      <b val="1"/>
      <color rgb="001A1A1A"/>
      <sz val="11"/>
    </font>
    <font>
      <name val="Arial"/>
      <b val="1"/>
      <color rgb="001A1A1A"/>
      <sz val="10"/>
    </font>
    <font>
      <name val="Arial"/>
      <color rgb="001A1A1A"/>
      <sz val="10"/>
    </font>
    <font>
      <name val="Arial"/>
      <b val="1"/>
      <color rgb="00C9A227"/>
      <sz val="10"/>
    </font>
    <font>
      <name val="Arial"/>
      <i val="1"/>
      <color rgb="001A1A1A"/>
      <sz val="9"/>
    </font>
    <font>
      <name val="Arial"/>
      <b val="1"/>
      <color rgb="00FFFFFF"/>
      <sz val="9"/>
    </font>
    <font>
      <name val="Arial"/>
      <b val="1"/>
      <color rgb="00C9A227"/>
      <sz val="18"/>
    </font>
    <font>
      <name val="Arial"/>
      <color rgb="001A1A1A"/>
      <sz val="9"/>
    </font>
    <font>
      <name val="Arial"/>
      <b val="1"/>
      <color rgb="00C9A227"/>
      <sz val="36"/>
    </font>
    <font>
      <name val="Arial"/>
      <i val="1"/>
      <color rgb="001A1A1A"/>
      <sz val="11"/>
    </font>
    <font>
      <name val="Arial"/>
      <i val="1"/>
      <color rgb="00808080"/>
      <sz val="8"/>
    </font>
    <font>
      <name val="Arial"/>
      <sz val="9"/>
    </font>
  </fonts>
  <fills count="8">
    <fill>
      <patternFill/>
    </fill>
    <fill>
      <patternFill patternType="gray125"/>
    </fill>
    <fill>
      <patternFill patternType="solid">
        <fgColor rgb="001A1A1A"/>
      </patternFill>
    </fill>
    <fill>
      <patternFill patternType="solid">
        <fgColor rgb="00C9A227"/>
      </patternFill>
    </fill>
    <fill>
      <patternFill patternType="solid">
        <fgColor rgb="00F6E9C4"/>
      </patternFill>
    </fill>
    <fill>
      <patternFill patternType="solid">
        <fgColor rgb="00FFF6DF"/>
      </patternFill>
    </fill>
    <fill>
      <patternFill patternType="solid">
        <fgColor rgb="00FFFFFF"/>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3">
    <xf numFmtId="0" fontId="0" fillId="0" borderId="0" pivotButton="0" quotePrefix="0" xfId="0"/>
    <xf numFmtId="0" fontId="11" fillId="2" borderId="0" applyAlignment="1" pivotButton="0" quotePrefix="0" xfId="0">
      <alignment horizontal="center" vertical="center"/>
    </xf>
    <xf numFmtId="0" fontId="0" fillId="2" borderId="0" pivotButton="0" quotePrefix="0" xfId="0"/>
    <xf numFmtId="0" fontId="12" fillId="0" borderId="0" applyAlignment="1" pivotButton="0" quotePrefix="0" xfId="0">
      <alignment horizontal="center" vertical="center"/>
    </xf>
    <xf numFmtId="0" fontId="13" fillId="0" borderId="0" applyAlignment="1" pivotButton="0" quotePrefix="0" xfId="0">
      <alignment horizontal="center" wrapText="1"/>
    </xf>
    <xf numFmtId="0" fontId="3" fillId="3" borderId="0" applyAlignment="1" pivotButton="0" quotePrefix="0" xfId="0">
      <alignment horizontal="left" vertical="center" indent="1"/>
    </xf>
    <xf numFmtId="0" fontId="4" fillId="4" borderId="1" applyAlignment="1" pivotButton="0" quotePrefix="0" xfId="0">
      <alignment horizontal="left" vertical="center"/>
    </xf>
    <xf numFmtId="0" fontId="10" fillId="0" borderId="1" applyAlignment="1" pivotButton="0" quotePrefix="0" xfId="0">
      <alignment vertical="center" wrapText="1"/>
    </xf>
    <xf numFmtId="0" fontId="0" fillId="5" borderId="1" pivotButton="0" quotePrefix="0" xfId="0"/>
    <xf numFmtId="0" fontId="14" fillId="0" borderId="0" pivotButton="0" quotePrefix="0" xfId="0"/>
    <xf numFmtId="0" fontId="0" fillId="6" borderId="1" pivotButton="0" quotePrefix="0" xfId="0"/>
    <xf numFmtId="0" fontId="10" fillId="0" borderId="0" applyAlignment="1" pivotButton="0" quotePrefix="0" xfId="0">
      <alignment vertical="top" wrapText="1"/>
    </xf>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8" fillId="2" borderId="0" applyAlignment="1" pivotButton="0" quotePrefix="0" xfId="0">
      <alignment horizontal="center" vertical="center"/>
    </xf>
    <xf numFmtId="1" fontId="9" fillId="7" borderId="1" applyAlignment="1" pivotButton="0" quotePrefix="0" xfId="0">
      <alignment horizontal="center" vertical="center"/>
    </xf>
    <xf numFmtId="0" fontId="0" fillId="7" borderId="1" pivotButton="0" quotePrefix="0" xfId="0"/>
    <xf numFmtId="9" fontId="9" fillId="7" borderId="1" applyAlignment="1" pivotButton="0" quotePrefix="0" xfId="0">
      <alignment horizontal="center" vertical="center"/>
    </xf>
    <xf numFmtId="0" fontId="5" fillId="6" borderId="1" applyAlignment="1" pivotButton="0" quotePrefix="0" xfId="0">
      <alignment horizontal="left" vertical="center"/>
    </xf>
    <xf numFmtId="165" fontId="4" fillId="6" borderId="1" applyAlignment="1" pivotButton="0" quotePrefix="0" xfId="0">
      <alignment horizontal="right" vertical="center"/>
    </xf>
    <xf numFmtId="0" fontId="6" fillId="2" borderId="1" applyAlignment="1" pivotButton="0" quotePrefix="0" xfId="0">
      <alignment horizontal="center" vertical="center" wrapText="1"/>
    </xf>
    <xf numFmtId="17" fontId="5" fillId="6" borderId="1" applyAlignment="1" pivotButton="0" quotePrefix="0" xfId="0">
      <alignment horizontal="center" vertical="center"/>
    </xf>
    <xf numFmtId="165" fontId="5" fillId="6" borderId="1" applyAlignment="1" pivotButton="0" quotePrefix="0" xfId="0">
      <alignment horizontal="right" vertical="center"/>
    </xf>
    <xf numFmtId="9" fontId="5" fillId="6" borderId="1" applyAlignment="1" pivotButton="0" quotePrefix="0" xfId="0">
      <alignment horizontal="center" vertical="center"/>
    </xf>
    <xf numFmtId="0" fontId="7" fillId="0" borderId="0" applyAlignment="1" pivotButton="0" quotePrefix="0" xfId="0">
      <alignment vertical="top" wrapText="1"/>
    </xf>
    <xf numFmtId="0" fontId="2" fillId="0" borderId="0" applyAlignment="1" pivotButton="0" quotePrefix="0" xfId="0">
      <alignment horizontal="left" vertical="center" wrapText="1" indent="1"/>
    </xf>
    <xf numFmtId="1" fontId="5" fillId="6" borderId="1" applyAlignment="1" pivotButton="0" quotePrefix="0" xfId="0">
      <alignment horizontal="center" vertical="center"/>
    </xf>
    <xf numFmtId="0" fontId="5" fillId="5" borderId="1" applyAlignment="1" applyProtection="1" pivotButton="0" quotePrefix="0" xfId="0">
      <alignment horizontal="center" vertical="center"/>
      <protection locked="0" hidden="0"/>
    </xf>
    <xf numFmtId="0" fontId="5" fillId="5" borderId="1" applyAlignment="1" applyProtection="1" pivotButton="0" quotePrefix="0" xfId="0">
      <alignment horizontal="left" vertical="center"/>
      <protection locked="0" hidden="0"/>
    </xf>
    <xf numFmtId="164" fontId="5" fillId="5" borderId="1" applyAlignment="1" applyProtection="1" pivotButton="0" quotePrefix="0" xfId="0">
      <alignment horizontal="center" vertical="center"/>
      <protection locked="0" hidden="0"/>
    </xf>
    <xf numFmtId="1" fontId="5" fillId="5" borderId="1" applyAlignment="1" applyProtection="1" pivotButton="0" quotePrefix="0" xfId="0">
      <alignment horizontal="center" vertical="center"/>
      <protection locked="0" hidden="0"/>
    </xf>
    <xf numFmtId="165" fontId="5" fillId="5" borderId="1" applyAlignment="1" applyProtection="1" pivotButton="0" quotePrefix="0" xfId="0">
      <alignment horizontal="right" vertical="center"/>
      <protection locked="0" hidden="0"/>
    </xf>
    <xf numFmtId="9" fontId="5" fillId="5" borderId="1" applyAlignment="1" applyProtection="1" pivotButton="0" quotePrefix="0" xfId="0">
      <alignment horizontal="center" vertical="center"/>
      <protection locked="0" hidden="0"/>
    </xf>
    <xf numFmtId="0" fontId="5" fillId="6" borderId="1" applyAlignment="1" pivotButton="0" quotePrefix="0" xfId="0">
      <alignment horizontal="center" vertical="center"/>
    </xf>
    <xf numFmtId="0" fontId="4" fillId="4" borderId="1" applyAlignment="1" pivotButton="0" quotePrefix="0" xfId="0">
      <alignment horizontal="left" vertical="center" indent="1"/>
    </xf>
    <xf numFmtId="0" fontId="5" fillId="0" borderId="1" applyAlignment="1" pivotButton="0" quotePrefix="0" xfId="0">
      <alignment horizontal="left" vertical="center"/>
    </xf>
    <xf numFmtId="1" fontId="4" fillId="6" borderId="1" applyAlignment="1" pivotButton="0" quotePrefix="0" xfId="0">
      <alignment horizontal="center" vertical="center"/>
    </xf>
    <xf numFmtId="165" fontId="4" fillId="6" borderId="1" applyAlignment="1" pivotButton="0" quotePrefix="0" xfId="0">
      <alignment horizontal="center" vertical="center"/>
    </xf>
    <xf numFmtId="164" fontId="5" fillId="6" borderId="1" applyAlignment="1" pivotButton="0" quotePrefix="0" xfId="0">
      <alignment horizontal="center" vertical="center"/>
    </xf>
    <xf numFmtId="0" fontId="4" fillId="0" borderId="0" applyAlignment="1" pivotButton="0" quotePrefix="0" xfId="0">
      <alignment horizontal="left" vertical="center"/>
    </xf>
    <xf numFmtId="0" fontId="4" fillId="6" borderId="1" applyAlignment="1" pivotButton="0" quotePrefix="0" xfId="0">
      <alignment horizontal="center" vertical="center"/>
    </xf>
    <xf numFmtId="166" fontId="5" fillId="6" borderId="1" applyAlignment="1" pivotButton="0" quotePrefix="0" xfId="0">
      <alignment horizontal="right" vertical="center"/>
    </xf>
    <xf numFmtId="0" fontId="4" fillId="3" borderId="1" applyAlignment="1" pivotButton="0" quotePrefix="0" xfId="0">
      <alignment horizontal="left" vertical="center"/>
    </xf>
    <xf numFmtId="165" fontId="4" fillId="4" borderId="1" applyAlignment="1" pivotButton="0" quotePrefix="0" xfId="0">
      <alignment horizontal="right" vertical="center"/>
    </xf>
    <xf numFmtId="0" fontId="7" fillId="0" borderId="0" pivotButton="0" quotePrefix="0" xfId="0"/>
    <xf numFmtId="0" fontId="10" fillId="0" borderId="0" pivotButton="0" quotePrefix="0" xfId="0"/>
    <xf numFmtId="9" fontId="5" fillId="6" borderId="1" applyAlignment="1" pivotButton="0" quotePrefix="0" xfId="0">
      <alignment horizontal="right" vertical="center"/>
    </xf>
    <xf numFmtId="1" fontId="5" fillId="6" borderId="1" applyAlignment="1" pivotButton="0" quotePrefix="0" xfId="0">
      <alignment horizontal="right" vertical="center"/>
    </xf>
    <xf numFmtId="0" fontId="4" fillId="4" borderId="1" applyAlignment="1" pivotButton="0" quotePrefix="0" xfId="0">
      <alignment horizontal="center" wrapText="1"/>
    </xf>
    <xf numFmtId="0" fontId="5" fillId="0" borderId="1" pivotButton="0" quotePrefix="0" xfId="0"/>
    <xf numFmtId="9" fontId="5" fillId="5" borderId="1" applyAlignment="1" applyProtection="1" pivotButton="0" quotePrefix="0" xfId="0">
      <alignment horizontal="left" vertical="center"/>
      <protection locked="0" hidden="0"/>
    </xf>
    <xf numFmtId="1" fontId="5" fillId="5" borderId="1" applyAlignment="1" applyProtection="1" pivotButton="0" quotePrefix="0" xfId="0">
      <alignment horizontal="left" vertical="center"/>
      <protection locked="0" hidden="0"/>
    </xf>
    <xf numFmtId="0" fontId="2" fillId="0" borderId="1" pivotButton="0" quotePrefix="0" xfId="0"/>
  </cellXfs>
  <cellStyles count="1">
    <cellStyle name="Normal" xfId="0" builtinId="0" hidden="0"/>
  </cellStyles>
  <dxfs count="8">
    <dxf>
      <font>
        <name val="Arial"/>
        <b val="1"/>
        <color rgb="00C00000"/>
        <sz val="18"/>
      </font>
      <fill>
        <patternFill patternType="solid">
          <fgColor rgb="00F8CBAD"/>
        </patternFill>
      </fill>
    </dxf>
    <dxf>
      <font>
        <name val="Arial"/>
        <b val="1"/>
        <color rgb="00006100"/>
        <sz val="18"/>
      </font>
      <fill>
        <patternFill patternType="solid">
          <fgColor rgb="00C6EFCE"/>
        </patternFill>
      </fill>
    </dxf>
    <dxf>
      <fill>
        <patternFill patternType="solid">
          <fgColor rgb="00F8CBAD"/>
        </patternFill>
      </fill>
    </dxf>
    <dxf>
      <fill>
        <patternFill patternType="solid">
          <fgColor rgb="00C6EFCE"/>
        </patternFill>
      </fill>
    </dxf>
    <dxf>
      <font>
        <b val="1"/>
        <color rgb="00C00000"/>
      </font>
    </dxf>
    <dxf>
      <fill>
        <patternFill patternType="solid">
          <fgColor rgb="00F2F2F2"/>
        </patternFill>
      </fill>
    </dxf>
    <dxf>
      <font>
        <b val="1"/>
        <color rgb="00C00000"/>
      </font>
      <fill>
        <patternFill patternType="solid">
          <fgColor rgb="00F8CBAD"/>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style val="2"/>
  <chart>
    <title>
      <tx>
        <rich>
          <a:bodyPr/>
          <a:p>
            <a:pPr>
              <a:defRPr/>
            </a:pPr>
            <a:r>
              <a:t>Évolution du chiffre d'affaires</a:t>
            </a:r>
          </a:p>
        </rich>
      </tx>
    </title>
    <plotArea>
      <lineChart>
        <grouping val="standard"/>
        <ser>
          <idx val="0"/>
          <order val="0"/>
          <tx>
            <strRef>
              <f>'Tableau de bord'!C45</f>
            </strRef>
          </tx>
          <spPr>
            <a:ln w="25000">
              <a:solidFill>
                <a:srgbClr val="C9A227"/>
              </a:solidFill>
              <a:prstDash val="solid"/>
            </a:ln>
          </spPr>
          <marker>
            <symbol val="none"/>
            <spPr>
              <a:ln>
                <a:prstDash val="solid"/>
              </a:ln>
            </spPr>
          </marker>
          <cat>
            <numRef>
              <f>'Tableau de bord'!$B$46:$B$57</f>
            </numRef>
          </cat>
          <val>
            <numRef>
              <f>'Tableau de bord'!$C$46:$C$57</f>
            </numRef>
          </val>
        </ser>
        <axId val="10"/>
        <axId val="100"/>
      </lineChart>
      <catAx>
        <axId val="10"/>
        <scaling>
          <orientation val="minMax"/>
        </scaling>
        <axPos val="l"/>
        <title>
          <tx>
            <rich>
              <a:bodyPr/>
              <a:p>
                <a:pPr>
                  <a:defRPr/>
                </a:pPr>
                <a:r>
                  <a:t>Mois</a:t>
                </a:r>
              </a:p>
            </rich>
          </tx>
        </title>
        <majorTickMark val="none"/>
        <minorTickMark val="none"/>
        <crossAx val="100"/>
        <lblOffset val="100"/>
      </catAx>
      <valAx>
        <axId val="100"/>
        <scaling>
          <orientation val="minMax"/>
        </scaling>
        <axPos val="l"/>
        <majorGridlines/>
        <title>
          <tx>
            <rich>
              <a:bodyPr/>
              <a:p>
                <a:pPr>
                  <a:defRPr/>
                </a:pPr>
                <a:r>
                  <a:t>CA (MAD)</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2"/>
  <chart>
    <title>
      <tx>
        <rich>
          <a:bodyPr/>
          <a:p>
            <a:pPr>
              <a:defRPr/>
            </a:pPr>
            <a:r>
              <a:t>Évolution du taux d'occupation</a:t>
            </a:r>
          </a:p>
        </rich>
      </tx>
    </title>
    <plotArea>
      <lineChart>
        <grouping val="standard"/>
        <ser>
          <idx val="0"/>
          <order val="0"/>
          <tx>
            <strRef>
              <f>'Tableau de bord'!D45</f>
            </strRef>
          </tx>
          <spPr>
            <a:ln w="25000">
              <a:solidFill>
                <a:srgbClr val="1A1A1A"/>
              </a:solidFill>
              <a:prstDash val="solid"/>
            </a:ln>
          </spPr>
          <marker>
            <symbol val="none"/>
            <spPr>
              <a:ln>
                <a:prstDash val="solid"/>
              </a:ln>
            </spPr>
          </marker>
          <cat>
            <numRef>
              <f>'Tableau de bord'!$B$46:$B$57</f>
            </numRef>
          </cat>
          <val>
            <numRef>
              <f>'Tableau de bord'!$D$46:$D$57</f>
            </numRef>
          </val>
        </ser>
        <axId val="10"/>
        <axId val="100"/>
      </lineChart>
      <catAx>
        <axId val="10"/>
        <scaling>
          <orientation val="minMax"/>
        </scaling>
        <axPos val="l"/>
        <title>
          <tx>
            <rich>
              <a:bodyPr/>
              <a:p>
                <a:pPr>
                  <a:defRPr/>
                </a:pPr>
                <a:r>
                  <a:t>Mois</a:t>
                </a:r>
              </a:p>
            </rich>
          </tx>
        </title>
        <majorTickMark val="none"/>
        <minorTickMark val="none"/>
        <crossAx val="100"/>
        <lblOffset val="100"/>
      </catAx>
      <valAx>
        <axId val="100"/>
        <scaling>
          <orientation val="minMax"/>
        </scaling>
        <axPos val="l"/>
        <majorGridlines/>
        <title>
          <tx>
            <rich>
              <a:bodyPr/>
              <a:p>
                <a:pPr>
                  <a:defRPr/>
                </a:pPr>
                <a:r>
                  <a:t>Taux d'occupation</a:t>
                </a:r>
              </a:p>
            </rich>
          </tx>
        </title>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24</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24</row>
      <rowOff>0</rowOff>
    </from>
    <ext cx="5400000" cy="2700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T_Reservations" displayName="T_Reservations" ref="A4:T154" headerRowCount="1">
  <autoFilter ref="A4:T154"/>
  <tableColumns count="20">
    <tableColumn id="1" name="N°"/>
    <tableColumn id="2" name="Bien"/>
    <tableColumn id="3" name="Plateforme"/>
    <tableColumn id="4" name="Client"/>
    <tableColumn id="5" name="Contact client"/>
    <tableColumn id="6" name="Arrivée"/>
    <tableColumn id="7" name="Départ"/>
    <tableColumn id="8" name="Nuits"/>
    <tableColumn id="9" name="Voyageurs"/>
    <tableColumn id="10" name="Prix total (TTC)"/>
    <tableColumn id="11" name="Commission plateforme %"/>
    <tableColumn id="12" name="Montant net"/>
    <tableColumn id="13" name="Statut"/>
    <tableColumn id="14" name="Acompte reçu"/>
    <tableColumn id="15" name="Solde dû"/>
    <tableColumn id="16" name="Soldé"/>
    <tableColumn id="17" name="Ménage fait"/>
    <tableColumn id="18" name="Retard paiement"/>
    <tableColumn id="19" name="Mois"/>
    <tableColumn id="20" name="Notes"/>
  </tableColumns>
  <tableStyleInfo name="TableStyleLight1" showFirstColumn="0" showLastColumn="0" showRowStripes="0" showColumnStripes="0"/>
</table>
</file>

<file path=xl/tables/table2.xml><?xml version="1.0" encoding="utf-8"?>
<table xmlns="http://schemas.openxmlformats.org/spreadsheetml/2006/main" id="2" name="T_Biens" displayName="T_Biens" ref="A4:L19" headerRowCount="1">
  <autoFilter ref="A4:L19"/>
  <tableColumns count="12">
    <tableColumn id="1" name="ID Bien"/>
    <tableColumn id="2" name="Nom / Désignation"/>
    <tableColumn id="3" name="Type"/>
    <tableColumn id="4" name="Adresse"/>
    <tableColumn id="5" name="Ville"/>
    <tableColumn id="6" name="Capacité (pers.)"/>
    <tableColumn id="7" name="Nb chambres"/>
    <tableColumn id="8" name="Propriétaire"/>
    <tableColumn id="9" name="Plateformes actives"/>
    <tableColumn id="10" name="Commission MG Hôte"/>
    <tableColumn id="11" name="Statut"/>
    <tableColumn id="12" name="Notes"/>
  </tableColumns>
  <tableStyleInfo name="TableStyleLight1" showFirstColumn="0" showLastColumn="0" showRowStripes="0" showColumnStripes="0"/>
</table>
</file>

<file path=xl/tables/table3.xml><?xml version="1.0" encoding="utf-8"?>
<table xmlns="http://schemas.openxmlformats.org/spreadsheetml/2006/main" id="3" name="T_Proprietaires" displayName="T_Proprietaires" ref="A4:J19" headerRowCount="1">
  <autoFilter ref="A4:J19"/>
  <tableColumns count="10">
    <tableColumn id="1" name="ID Propriétaire"/>
    <tableColumn id="2" name="Nom complet"/>
    <tableColumn id="3" name="Téléphone"/>
    <tableColumn id="4" name="Email"/>
    <tableColumn id="5" name="Adresse"/>
    <tableColumn id="6" name="Bien(s) géré(s)"/>
    <tableColumn id="7" name="RIB / IBAN"/>
    <tableColumn id="8" name="Mode paiement préféré"/>
    <tableColumn id="9" name="Début contrat"/>
    <tableColumn id="10" name="Notes"/>
  </tableColumns>
  <tableStyleInfo name="TableStyleLight1" showFirstColumn="0" showLastColumn="0" showRowStripes="0" showColumnStripes="0"/>
</table>
</file>

<file path=xl/tables/table4.xml><?xml version="1.0" encoding="utf-8"?>
<table xmlns="http://schemas.openxmlformats.org/spreadsheetml/2006/main" id="4" name="T_Finances" displayName="T_Finances" ref="A4:O64" headerRowCount="1">
  <autoFilter ref="A4:O64"/>
  <tableColumns count="15">
    <tableColumn id="1" name="Mois"/>
    <tableColumn id="2" name="Bien"/>
    <tableColumn id="3" name="Revenu locatif"/>
    <tableColumn id="4" name="Ménage"/>
    <tableColumn id="5" name="Consommables"/>
    <tableColumn id="6" name="Électricité"/>
    <tableColumn id="7" name="Eau"/>
    <tableColumn id="8" name="Publicité"/>
    <tableColumn id="9" name="Maintenance"/>
    <tableColumn id="10" name="Total charges"/>
    <tableColumn id="11" name="Commission MG Hôte %"/>
    <tableColumn id="12" name="Commission MG Hôte"/>
    <tableColumn id="13" name="Résultat net propriétaire"/>
    <tableColumn id="14" name="Marge nette"/>
    <tableColumn id="15" name="Alerte rentabilité"/>
  </tableColumns>
  <tableStyleInfo name="TableStyleLight1" showFirstColumn="0" showLastColumn="0" showRowStripes="0" showColumnStripes="0"/>
</table>
</file>

<file path=xl/tables/table5.xml><?xml version="1.0" encoding="utf-8"?>
<table xmlns="http://schemas.openxmlformats.org/spreadsheetml/2006/main" id="5" name="T_Menage" displayName="T_Menage" ref="A4:G154" headerRowCount="1">
  <autoFilter ref="A4:G154"/>
  <tableColumns count="7">
    <tableColumn id="1" name="Date"/>
    <tableColumn id="2" name="Bien"/>
    <tableColumn id="3" name="Réservation liée (N°)"/>
    <tableColumn id="4" name="Statut"/>
    <tableColumn id="5" name="Compte-rendu"/>
    <tableColumn id="6" name="Responsable"/>
    <tableColumn id="7" name="Alerte"/>
  </tableColumns>
  <tableStyleInfo name="TableStyleLight1" showFirstColumn="0" showLastColumn="0" showRowStripes="0" showColumnStripes="0"/>
</table>
</file>

<file path=xl/tables/table6.xml><?xml version="1.0" encoding="utf-8"?>
<table xmlns="http://schemas.openxmlformats.org/spreadsheetml/2006/main" id="6" name="T_Maintenance" displayName="T_Maintenance" ref="A4:I64" headerRowCount="1">
  <autoFilter ref="A4:I64"/>
  <tableColumns count="9">
    <tableColumn id="1" name="Date signalement"/>
    <tableColumn id="2" name="Bien"/>
    <tableColumn id="3" name="Description incident"/>
    <tableColumn id="4" name="Priorité"/>
    <tableColumn id="5" name="Statut"/>
    <tableColumn id="6" name="Coût"/>
    <tableColumn id="7" name="Date résolution"/>
    <tableColumn id="8" name="Notes"/>
    <tableColumn id="9" name="Mois"/>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_rels/sheet6.xml.rels><Relationships xmlns="http://schemas.openxmlformats.org/package/2006/relationships"><Relationship Type="http://schemas.openxmlformats.org/officeDocument/2006/relationships/table" Target="/xl/tables/table3.xml" Id="rId1" /></Relationships>
</file>

<file path=xl/worksheets/_rels/sheet7.xml.rels><Relationships xmlns="http://schemas.openxmlformats.org/package/2006/relationships"><Relationship Type="http://schemas.openxmlformats.org/officeDocument/2006/relationships/table" Target="/xl/tables/table4.xml" Id="rId1" /></Relationships>
</file>

<file path=xl/worksheets/_rels/sheet8.xml.rels><Relationships xmlns="http://schemas.openxmlformats.org/package/2006/relationships"><Relationship Type="http://schemas.openxmlformats.org/officeDocument/2006/relationships/table" Target="/xl/tables/table5.xml" Id="rId1" /></Relationships>
</file>

<file path=xl/worksheets/_rels/sheet9.xml.rels><Relationships xmlns="http://schemas.openxmlformats.org/package/2006/relationships"><Relationship Type="http://schemas.openxmlformats.org/officeDocument/2006/relationships/table" Target="/xl/tables/table6.xml" Id="rId1" /></Relationships>
</file>

<file path=xl/worksheets/sheet1.xml><?xml version="1.0" encoding="utf-8"?>
<worksheet xmlns="http://schemas.openxmlformats.org/spreadsheetml/2006/main">
  <sheetPr>
    <tabColor rgb="00C9A227"/>
    <outlinePr summaryBelow="1" summaryRight="1"/>
    <pageSetUpPr/>
  </sheetPr>
  <dimension ref="A1:D40"/>
  <sheetViews>
    <sheetView showGridLines="0" workbookViewId="0">
      <selection activeCell="A1" sqref="A1"/>
    </sheetView>
  </sheetViews>
  <sheetFormatPr baseColWidth="8" defaultRowHeight="15"/>
  <cols>
    <col width="3" customWidth="1" min="1" max="1"/>
    <col width="40" customWidth="1" min="2" max="2"/>
    <col width="40" customWidth="1" min="3" max="3"/>
    <col width="3" customWidth="1" min="4" max="4"/>
  </cols>
  <sheetData>
    <row r="1">
      <c r="A1" s="1" t="inlineStr">
        <is>
          <t>MG HÔTE</t>
        </is>
      </c>
      <c r="B1" s="2" t="n"/>
      <c r="C1" s="2" t="n"/>
      <c r="D1" s="2" t="n"/>
    </row>
    <row r="2">
      <c r="A2" s="2" t="n"/>
      <c r="B2" s="2" t="n"/>
      <c r="C2" s="2" t="n"/>
      <c r="D2" s="2" t="n"/>
    </row>
    <row r="3">
      <c r="A3" s="2" t="n"/>
      <c r="B3" s="2" t="n"/>
      <c r="C3" s="2" t="n"/>
      <c r="D3" s="2" t="n"/>
    </row>
    <row r="4">
      <c r="A4" s="2" t="n"/>
      <c r="B4" s="2" t="n"/>
      <c r="C4" s="2" t="n"/>
      <c r="D4" s="2" t="n"/>
    </row>
    <row r="5">
      <c r="A5" s="2" t="n"/>
      <c r="B5" s="2" t="n"/>
      <c r="C5" s="2" t="n"/>
      <c r="D5" s="2" t="n"/>
    </row>
    <row r="6" ht="22" customHeight="1">
      <c r="A6" s="3" t="inlineStr">
        <is>
          <t>Conciergerie Airbnb &amp; Booking — Villas, Appartements, Riads</t>
        </is>
      </c>
    </row>
    <row r="7">
      <c r="A7" s="4" t="inlineStr">
        <is>
          <t>Note : insérez votre logo officiel ici (Insertion &gt; Images) à la place de ce bandeau texte — les couleurs noir/or du classeur sont déjà calées sur votre charte.</t>
        </is>
      </c>
    </row>
    <row r="9" ht="20" customHeight="1">
      <c r="A9" s="5" t="inlineStr">
        <is>
          <t>Sommaire du classeur</t>
        </is>
      </c>
    </row>
    <row r="11" ht="28" customHeight="1">
      <c r="B11" s="6" t="inlineStr">
        <is>
          <t>Tableau de bord</t>
        </is>
      </c>
      <c r="C11" s="7" t="inlineStr">
        <is>
          <t>Vue d'ensemble : arrivées du jour, occupation, finances, alertes, évolution mensuelle.</t>
        </is>
      </c>
    </row>
    <row r="12" ht="28" customHeight="1">
      <c r="B12" s="6" t="inlineStr">
        <is>
          <t>Réservations</t>
        </is>
      </c>
      <c r="C12" s="7" t="inlineStr">
        <is>
          <t>Journal de toutes les réservations (Airbnb, Booking, directes) et annulations.</t>
        </is>
      </c>
    </row>
    <row r="13" ht="28" customHeight="1">
      <c r="B13" s="6" t="inlineStr">
        <is>
          <t>Formulaire Réservation</t>
        </is>
      </c>
      <c r="C13" s="7" t="inlineStr">
        <is>
          <t>Aide de saisie visuelle pour ajouter une nouvelle réservation.</t>
        </is>
      </c>
    </row>
    <row r="14" ht="28" customHeight="1">
      <c r="B14" s="6" t="inlineStr">
        <is>
          <t>Biens</t>
        </is>
      </c>
      <c r="C14" s="7" t="inlineStr">
        <is>
          <t>Liste des biens gérés (Bien 1, Bien 2…).</t>
        </is>
      </c>
    </row>
    <row r="15" ht="28" customHeight="1">
      <c r="B15" s="6" t="inlineStr">
        <is>
          <t>Propriétaires</t>
        </is>
      </c>
      <c r="C15" s="7" t="inlineStr">
        <is>
          <t>Fiches des propriétaires (contact, RIB, mode de paiement).</t>
        </is>
      </c>
    </row>
    <row r="16" ht="28" customHeight="1">
      <c r="B16" s="6" t="inlineStr">
        <is>
          <t>Finances</t>
        </is>
      </c>
      <c r="C16" s="7" t="inlineStr">
        <is>
          <t>Mini comptabilité mensuelle par bien : revenus, charges, résultat net.</t>
        </is>
      </c>
    </row>
    <row r="17" ht="28" customHeight="1">
      <c r="B17" s="6" t="inlineStr">
        <is>
          <t>Ménage</t>
        </is>
      </c>
      <c r="C17" s="7" t="inlineStr">
        <is>
          <t>Suivi du ménage par réservation : fait / en attente, compte-rendu.</t>
        </is>
      </c>
    </row>
    <row r="18" ht="28" customHeight="1">
      <c r="B18" s="6" t="inlineStr">
        <is>
          <t>Maintenance</t>
        </is>
      </c>
      <c r="C18" s="7" t="inlineStr">
        <is>
          <t>Suivi des incidents et de leur priorité.</t>
        </is>
      </c>
    </row>
    <row r="19" ht="28" customHeight="1">
      <c r="B19" s="6" t="inlineStr">
        <is>
          <t>Alertes</t>
        </is>
      </c>
      <c r="C19" s="7" t="inlineStr">
        <is>
          <t>Paiements en retard, ménages oubliés, rentabilité faible, logements vides.</t>
        </is>
      </c>
    </row>
    <row r="20" ht="28" customHeight="1">
      <c r="B20" s="6" t="inlineStr">
        <is>
          <t>Facture Propriétaire</t>
        </is>
      </c>
      <c r="C20" s="7" t="inlineStr">
        <is>
          <t>Facture imprimable/PDF générée automatiquement par bien et par mois.</t>
        </is>
      </c>
    </row>
    <row r="21" ht="28" customHeight="1">
      <c r="B21" s="6" t="inlineStr">
        <is>
          <t>Rapport Mensuel</t>
        </is>
      </c>
      <c r="C21" s="7" t="inlineStr">
        <is>
          <t>Synthèse mensuelle imprimable/PDF, tous biens confondus.</t>
        </is>
      </c>
    </row>
    <row r="22" ht="28" customHeight="1">
      <c r="B22" s="6" t="inlineStr">
        <is>
          <t>Paramètres</t>
        </is>
      </c>
      <c r="C22" s="7" t="inlineStr">
        <is>
          <t>Listes déroulantes et seuils d'alerte — à ne modifier qu'avec précaution.</t>
        </is>
      </c>
    </row>
    <row r="24" ht="20" customHeight="1">
      <c r="A24" s="5" t="inlineStr">
        <is>
          <t>Légende des couleurs</t>
        </is>
      </c>
    </row>
    <row r="26">
      <c r="B26" s="8" t="inlineStr">
        <is>
          <t>Cellule dorée</t>
        </is>
      </c>
      <c r="C26" s="9">
        <f> zone modifiable (saisie libre).</f>
        <v/>
      </c>
    </row>
    <row r="27">
      <c r="B27" s="10" t="inlineStr">
        <is>
          <t>Cellule blanche</t>
        </is>
      </c>
      <c r="C27" s="9">
        <f> calcul automatique (formule protégée).</f>
        <v/>
      </c>
    </row>
    <row r="29" ht="20" customHeight="1">
      <c r="A29" s="5" t="inlineStr">
        <is>
          <t>Sécurité &amp; sauvegarde</t>
        </is>
      </c>
    </row>
    <row r="31" ht="28" customHeight="1">
      <c r="B31" s="11" t="inlineStr">
        <is>
          <t>• Les onglets sont protégés : seules les cellules dorées sont modifiables, les formules sont verrouillées (mot de passe : voir onglet Paramètres).</t>
        </is>
      </c>
    </row>
    <row r="32" ht="28" customHeight="1">
      <c r="B32" s="11" t="inlineStr">
        <is>
          <t>• Structure du classeur protégée pour éviter la suppression ou le déplacement accidentel d'un onglet.</t>
        </is>
      </c>
    </row>
    <row r="33" ht="28" customHeight="1">
      <c r="B33" s="11" t="inlineStr">
        <is>
          <t>• Activez l'enregistrement automatique dans Excel : enregistrez le fichier sur OneDrive/SharePoint puis activez « Enregistrement automatique » en haut de la fenêtre Excel.</t>
        </is>
      </c>
    </row>
    <row r="34" ht="28" customHeight="1">
      <c r="B34" s="11" t="inlineStr">
        <is>
          <t>• Pour retrouver un historique des versions : Fichier &gt; Informations &gt; Historique des versions (nécessite OneDrive/SharePoint).</t>
        </is>
      </c>
    </row>
    <row r="35" ht="28" customHeight="1">
      <c r="B35" s="11" t="inlineStr">
        <is>
          <t>• Pour un suivi collaboratif des modifications : Révision &gt; Partager le classeur (ou co-édition via OneDrive si vous travaillez à plusieurs).</t>
        </is>
      </c>
    </row>
    <row r="37" ht="20" customHeight="1">
      <c r="A37" s="5" t="inlineStr">
        <is>
          <t>Export PDF</t>
        </is>
      </c>
    </row>
    <row r="39" ht="28" customHeight="1">
      <c r="B39" s="11" t="inlineStr">
        <is>
          <t>• Facture Propriétaire et Rapport Mensuel sont préformatés pour l'impression (zone d'impression + mise en page 1 page définies).</t>
        </is>
      </c>
    </row>
    <row r="40" ht="28" customHeight="1">
      <c r="B40" s="11" t="inlineStr">
        <is>
          <t>• Pour exporter en PDF : ouvrez l'onglet souhaité, puis Fichier &gt; Exporter &gt; Créer un document PDF/XPS (ou Ctrl+P &gt; Imprimante « Microsoft Print to PDF »).</t>
        </is>
      </c>
    </row>
  </sheetData>
  <sheetProtection selectLockedCells="0" selectUnlockedCells="0" sheet="1" objects="0" insertRows="0" insertHyperlinks="1" autoFilter="1" scenarios="0" formatColumns="1" deleteColumns="1" insertColumns="1" pivotTables="1" deleteRows="0" formatCells="0" formatRows="1" sort="1" password="C9B6"/>
  <mergeCells count="14">
    <mergeCell ref="B39:C39"/>
    <mergeCell ref="A37:D37"/>
    <mergeCell ref="A9:D9"/>
    <mergeCell ref="A6:D6"/>
    <mergeCell ref="B33:C33"/>
    <mergeCell ref="B34:C34"/>
    <mergeCell ref="A29:D29"/>
    <mergeCell ref="A7:D7"/>
    <mergeCell ref="B32:C32"/>
    <mergeCell ref="A24:D24"/>
    <mergeCell ref="B31:C31"/>
    <mergeCell ref="B40:C40"/>
    <mergeCell ref="B35:C35"/>
    <mergeCell ref="A1:D5"/>
  </mergeCells>
  <pageMargins left="0.75" right="0.75" top="1" bottom="1" header="0.5" footer="0.5"/>
</worksheet>
</file>

<file path=xl/worksheets/sheet2.xml><?xml version="1.0" encoding="utf-8"?>
<worksheet xmlns="http://schemas.openxmlformats.org/spreadsheetml/2006/main">
  <sheetPr>
    <tabColor rgb="00C9A227"/>
    <outlinePr summaryBelow="1" summaryRight="1"/>
    <pageSetUpPr/>
  </sheetPr>
  <dimension ref="A1:P60"/>
  <sheetViews>
    <sheetView showGridLines="0" workbookViewId="0">
      <selection activeCell="A1" sqref="A1"/>
    </sheetView>
  </sheetViews>
  <sheetFormatPr baseColWidth="8" defaultRowHeight="15"/>
  <cols>
    <col width="4" customWidth="1" min="1" max="1"/>
    <col width="14" customWidth="1" min="2" max="2"/>
    <col width="14" customWidth="1" min="3" max="3"/>
    <col width="14" customWidth="1" min="4" max="4"/>
    <col width="4" customWidth="1" min="5" max="5"/>
    <col width="14" customWidth="1" min="6" max="6"/>
    <col width="14" customWidth="1" min="7" max="7"/>
    <col width="14" customWidth="1" min="8" max="8"/>
    <col width="4" customWidth="1" min="9" max="9"/>
    <col width="14" customWidth="1" min="10" max="10"/>
    <col width="14" customWidth="1" min="11" max="11"/>
    <col width="14" customWidth="1" min="12" max="12"/>
    <col width="4" customWidth="1" min="13" max="13"/>
    <col width="14" customWidth="1" min="14" max="14"/>
    <col width="14" customWidth="1" min="15" max="15"/>
    <col width="14" customWidth="1" min="16" max="16"/>
  </cols>
  <sheetData>
    <row r="1" ht="26" customHeight="1">
      <c r="A1" s="12" t="inlineStr">
        <is>
          <t>MG HÔTE — TABLEAU DE BORD</t>
        </is>
      </c>
      <c r="B1" s="2" t="n"/>
      <c r="C1" s="2" t="n"/>
      <c r="D1" s="2" t="n"/>
      <c r="E1" s="2" t="n"/>
      <c r="F1" s="2" t="n"/>
      <c r="G1" s="2" t="n"/>
      <c r="H1" s="2" t="n"/>
      <c r="I1" s="2" t="n"/>
      <c r="J1" s="2" t="n"/>
      <c r="K1" s="2" t="n"/>
      <c r="L1" s="2" t="n"/>
      <c r="M1" s="2" t="n"/>
      <c r="N1" s="2" t="n"/>
      <c r="O1" s="2" t="n"/>
      <c r="P1" s="2" t="n"/>
    </row>
    <row r="2">
      <c r="A2" s="13">
        <f>"Données au "&amp;TEXT(TODAY(),"dd/mm/yyyy")</f>
        <v/>
      </c>
    </row>
    <row r="4" ht="20" customHeight="1">
      <c r="A4" s="5" t="inlineStr">
        <is>
          <t>Aujourd'hui</t>
        </is>
      </c>
    </row>
    <row r="5">
      <c r="B5" s="14" t="inlineStr">
        <is>
          <t>ARRIVÉES AUJOURD'HUI</t>
        </is>
      </c>
      <c r="C5" s="2" t="n"/>
      <c r="D5" s="2" t="n"/>
      <c r="F5" s="14" t="inlineStr">
        <is>
          <t>TAUX D'OCCUPATION (MOIS)</t>
        </is>
      </c>
      <c r="G5" s="2" t="n"/>
      <c r="H5" s="2" t="n"/>
      <c r="J5" s="14" t="inlineStr">
        <is>
          <t>NUITS RÉSERVÉES (MOIS)</t>
        </is>
      </c>
      <c r="K5" s="2" t="n"/>
      <c r="L5" s="2" t="n"/>
    </row>
    <row r="6">
      <c r="B6" s="15">
        <f>COUNTIFS(T_Reservations[Arrivée],TODAY(),T_Reservations[Statut],"&lt;&gt;Annulée")</f>
        <v/>
      </c>
      <c r="C6" s="16" t="n"/>
      <c r="D6" s="16" t="n"/>
      <c r="F6" s="17">
        <f>IFERROR(J6/(COUNTIF(T_Biens[Statut],"Actif")*DAY(EOMONTH(TODAY(),0))),0)</f>
        <v/>
      </c>
      <c r="G6" s="16" t="n"/>
      <c r="H6" s="16" t="n"/>
      <c r="J6" s="15">
        <f>SUMIFS(T_Reservations[Nuits],T_Reservations[Mois],TEXT(TODAY(),"yyyy-mm"),T_Reservations[Statut],"&lt;&gt;Annulée")</f>
        <v/>
      </c>
      <c r="K6" s="16" t="n"/>
      <c r="L6" s="16" t="n"/>
    </row>
    <row r="7">
      <c r="B7" s="16" t="n"/>
      <c r="C7" s="16" t="n"/>
      <c r="D7" s="16" t="n"/>
      <c r="F7" s="16" t="n"/>
      <c r="G7" s="16" t="n"/>
      <c r="H7" s="16" t="n"/>
      <c r="J7" s="16" t="n"/>
      <c r="K7" s="16" t="n"/>
      <c r="L7" s="16" t="n"/>
    </row>
    <row r="9" ht="20" customHeight="1">
      <c r="A9" s="5" t="inlineStr">
        <is>
          <t>Bloc Financier (mois en cours)</t>
        </is>
      </c>
    </row>
    <row r="11">
      <c r="B11" s="18" t="inlineStr">
        <is>
          <t>Chiffre d'affaires brut du mois</t>
        </is>
      </c>
      <c r="G11" s="19">
        <f>SUMIFS(T_Reservations[Prix total (TTC)],T_Reservations[Mois],TEXT(TODAY(),"yyyy-mm"),T_Reservations[Statut],"&lt;&gt;Annulée")</f>
        <v/>
      </c>
    </row>
    <row r="12">
      <c r="B12" s="18" t="inlineStr">
        <is>
          <t>Charges du mois</t>
        </is>
      </c>
      <c r="G12" s="19">
        <f>SUMIFS(T_Finances[Total charges],T_Finances[Mois],TEXT(TODAY(),"yyyy-mm"))</f>
        <v/>
      </c>
    </row>
    <row r="13">
      <c r="B13" s="18" t="inlineStr">
        <is>
          <t>Résultat net du mois</t>
        </is>
      </c>
      <c r="G13" s="19">
        <f>SUMIFS(T_Finances[Résultat net propriétaire],T_Finances[Mois],TEXT(TODAY(),"yyyy-mm"))</f>
        <v/>
      </c>
    </row>
    <row r="14">
      <c r="B14" s="18" t="inlineStr">
        <is>
          <t>Impayés en cours (tous biens)</t>
        </is>
      </c>
      <c r="G14" s="19">
        <f>SUMIFS(T_Reservations[Solde dû],T_Reservations[Soldé],"Non")</f>
        <v/>
      </c>
    </row>
    <row r="15">
      <c r="B15" s="18" t="inlineStr">
        <is>
          <t>Résultat net cumulé (année)</t>
        </is>
      </c>
      <c r="G15" s="19">
        <f>SUMIFS(T_Finances[Résultat net propriétaire],T_Finances[Mois],TEXT(TODAY(),"yyyy")&amp;"*")</f>
        <v/>
      </c>
    </row>
    <row r="17" ht="20" customHeight="1">
      <c r="A17" s="5" t="inlineStr">
        <is>
          <t>Bloc Opérationnel — Alertes</t>
        </is>
      </c>
    </row>
    <row r="19">
      <c r="B19" s="14" t="inlineStr">
        <is>
          <t>PAIEMENTS EN RETARD</t>
        </is>
      </c>
      <c r="C19" s="2" t="n"/>
      <c r="D19" s="2" t="n"/>
      <c r="F19" s="14" t="inlineStr">
        <is>
          <t>MÉNAGES OUBLIÉS</t>
        </is>
      </c>
      <c r="G19" s="2" t="n"/>
      <c r="H19" s="2" t="n"/>
      <c r="J19" s="14" t="inlineStr">
        <is>
          <t>RENTABILITÉ FAIBLE</t>
        </is>
      </c>
      <c r="K19" s="2" t="n"/>
      <c r="L19" s="2" t="n"/>
      <c r="N19" s="14" t="inlineStr">
        <is>
          <t>LOGEMENTS VIDES</t>
        </is>
      </c>
      <c r="O19" s="2" t="n"/>
      <c r="P19" s="2" t="n"/>
    </row>
    <row r="20">
      <c r="B20" s="15">
        <f>'Alertes'!B6</f>
        <v/>
      </c>
      <c r="C20" s="16" t="n"/>
      <c r="D20" s="16" t="n"/>
      <c r="F20" s="15">
        <f>'Alertes'!F6</f>
        <v/>
      </c>
      <c r="G20" s="16" t="n"/>
      <c r="H20" s="16" t="n"/>
      <c r="J20" s="15">
        <f>'Alertes'!J6</f>
        <v/>
      </c>
      <c r="K20" s="16" t="n"/>
      <c r="L20" s="16" t="n"/>
      <c r="N20" s="15">
        <f>'Alertes'!N6</f>
        <v/>
      </c>
      <c r="O20" s="16" t="n"/>
      <c r="P20" s="16" t="n"/>
    </row>
    <row r="21">
      <c r="B21" s="16" t="n"/>
      <c r="C21" s="16" t="n"/>
      <c r="D21" s="16" t="n"/>
      <c r="F21" s="16" t="n"/>
      <c r="G21" s="16" t="n"/>
      <c r="H21" s="16" t="n"/>
      <c r="J21" s="16" t="n"/>
      <c r="K21" s="16" t="n"/>
      <c r="L21" s="16" t="n"/>
      <c r="N21" s="16" t="n"/>
      <c r="O21" s="16" t="n"/>
      <c r="P21" s="16" t="n"/>
    </row>
    <row r="23" ht="20" customHeight="1">
      <c r="A23" s="5" t="inlineStr">
        <is>
          <t>Bloc Performance — Évolution mensuelle (CA &amp; taux d'occupation)</t>
        </is>
      </c>
    </row>
    <row r="25"/>
    <row r="26"/>
    <row r="27"/>
    <row r="28"/>
    <row r="29"/>
    <row r="30"/>
    <row r="31"/>
    <row r="32"/>
    <row r="33"/>
    <row r="34"/>
    <row r="35"/>
    <row r="36"/>
    <row r="37"/>
    <row r="38"/>
    <row r="39"/>
    <row r="40"/>
    <row r="44" ht="20" customHeight="1">
      <c r="A44" s="5" t="inlineStr">
        <is>
          <t>Données du graphique — ne pas supprimer (12 derniers mois)</t>
        </is>
      </c>
    </row>
    <row r="45" ht="30" customHeight="1">
      <c r="B45" s="20" t="inlineStr">
        <is>
          <t>Mois</t>
        </is>
      </c>
      <c r="C45" s="20" t="inlineStr">
        <is>
          <t>Chiffre d'affaires</t>
        </is>
      </c>
      <c r="D45" s="20" t="inlineStr">
        <is>
          <t>Taux d'occupation</t>
        </is>
      </c>
    </row>
    <row r="46">
      <c r="B46" s="21">
        <f>EOMONTH(TODAY(),-11-1)+1</f>
        <v/>
      </c>
      <c r="C46" s="22">
        <f>SUMIFS(T_Reservations[Prix total (TTC)],T_Reservations[Mois],TEXT(B46,"yyyy-mm"),T_Reservations[Statut],"&lt;&gt;Annulée")</f>
        <v/>
      </c>
      <c r="D46" s="23">
        <f>IFERROR(SUMIFS(T_Reservations[Nuits],T_Reservations[Mois],TEXT(B46,"yyyy-mm"),T_Reservations[Statut],"&lt;&gt;Annulée")/(COUNTIF(T_Biens[Statut],"Actif")*DAY(EOMONTH(B46,0))),0)</f>
        <v/>
      </c>
    </row>
    <row r="47">
      <c r="B47" s="21">
        <f>EOMONTH(TODAY(),-10-1)+1</f>
        <v/>
      </c>
      <c r="C47" s="22">
        <f>SUMIFS(T_Reservations[Prix total (TTC)],T_Reservations[Mois],TEXT(B47,"yyyy-mm"),T_Reservations[Statut],"&lt;&gt;Annulée")</f>
        <v/>
      </c>
      <c r="D47" s="23">
        <f>IFERROR(SUMIFS(T_Reservations[Nuits],T_Reservations[Mois],TEXT(B47,"yyyy-mm"),T_Reservations[Statut],"&lt;&gt;Annulée")/(COUNTIF(T_Biens[Statut],"Actif")*DAY(EOMONTH(B47,0))),0)</f>
        <v/>
      </c>
    </row>
    <row r="48">
      <c r="B48" s="21">
        <f>EOMONTH(TODAY(),-9-1)+1</f>
        <v/>
      </c>
      <c r="C48" s="22">
        <f>SUMIFS(T_Reservations[Prix total (TTC)],T_Reservations[Mois],TEXT(B48,"yyyy-mm"),T_Reservations[Statut],"&lt;&gt;Annulée")</f>
        <v/>
      </c>
      <c r="D48" s="23">
        <f>IFERROR(SUMIFS(T_Reservations[Nuits],T_Reservations[Mois],TEXT(B48,"yyyy-mm"),T_Reservations[Statut],"&lt;&gt;Annulée")/(COUNTIF(T_Biens[Statut],"Actif")*DAY(EOMONTH(B48,0))),0)</f>
        <v/>
      </c>
    </row>
    <row r="49">
      <c r="B49" s="21">
        <f>EOMONTH(TODAY(),-8-1)+1</f>
        <v/>
      </c>
      <c r="C49" s="22">
        <f>SUMIFS(T_Reservations[Prix total (TTC)],T_Reservations[Mois],TEXT(B49,"yyyy-mm"),T_Reservations[Statut],"&lt;&gt;Annulée")</f>
        <v/>
      </c>
      <c r="D49" s="23">
        <f>IFERROR(SUMIFS(T_Reservations[Nuits],T_Reservations[Mois],TEXT(B49,"yyyy-mm"),T_Reservations[Statut],"&lt;&gt;Annulée")/(COUNTIF(T_Biens[Statut],"Actif")*DAY(EOMONTH(B49,0))),0)</f>
        <v/>
      </c>
    </row>
    <row r="50">
      <c r="B50" s="21">
        <f>EOMONTH(TODAY(),-7-1)+1</f>
        <v/>
      </c>
      <c r="C50" s="22">
        <f>SUMIFS(T_Reservations[Prix total (TTC)],T_Reservations[Mois],TEXT(B50,"yyyy-mm"),T_Reservations[Statut],"&lt;&gt;Annulée")</f>
        <v/>
      </c>
      <c r="D50" s="23">
        <f>IFERROR(SUMIFS(T_Reservations[Nuits],T_Reservations[Mois],TEXT(B50,"yyyy-mm"),T_Reservations[Statut],"&lt;&gt;Annulée")/(COUNTIF(T_Biens[Statut],"Actif")*DAY(EOMONTH(B50,0))),0)</f>
        <v/>
      </c>
    </row>
    <row r="51">
      <c r="B51" s="21">
        <f>EOMONTH(TODAY(),-6-1)+1</f>
        <v/>
      </c>
      <c r="C51" s="22">
        <f>SUMIFS(T_Reservations[Prix total (TTC)],T_Reservations[Mois],TEXT(B51,"yyyy-mm"),T_Reservations[Statut],"&lt;&gt;Annulée")</f>
        <v/>
      </c>
      <c r="D51" s="23">
        <f>IFERROR(SUMIFS(T_Reservations[Nuits],T_Reservations[Mois],TEXT(B51,"yyyy-mm"),T_Reservations[Statut],"&lt;&gt;Annulée")/(COUNTIF(T_Biens[Statut],"Actif")*DAY(EOMONTH(B51,0))),0)</f>
        <v/>
      </c>
    </row>
    <row r="52">
      <c r="B52" s="21">
        <f>EOMONTH(TODAY(),-5-1)+1</f>
        <v/>
      </c>
      <c r="C52" s="22">
        <f>SUMIFS(T_Reservations[Prix total (TTC)],T_Reservations[Mois],TEXT(B52,"yyyy-mm"),T_Reservations[Statut],"&lt;&gt;Annulée")</f>
        <v/>
      </c>
      <c r="D52" s="23">
        <f>IFERROR(SUMIFS(T_Reservations[Nuits],T_Reservations[Mois],TEXT(B52,"yyyy-mm"),T_Reservations[Statut],"&lt;&gt;Annulée")/(COUNTIF(T_Biens[Statut],"Actif")*DAY(EOMONTH(B52,0))),0)</f>
        <v/>
      </c>
    </row>
    <row r="53">
      <c r="B53" s="21">
        <f>EOMONTH(TODAY(),-4-1)+1</f>
        <v/>
      </c>
      <c r="C53" s="22">
        <f>SUMIFS(T_Reservations[Prix total (TTC)],T_Reservations[Mois],TEXT(B53,"yyyy-mm"),T_Reservations[Statut],"&lt;&gt;Annulée")</f>
        <v/>
      </c>
      <c r="D53" s="23">
        <f>IFERROR(SUMIFS(T_Reservations[Nuits],T_Reservations[Mois],TEXT(B53,"yyyy-mm"),T_Reservations[Statut],"&lt;&gt;Annulée")/(COUNTIF(T_Biens[Statut],"Actif")*DAY(EOMONTH(B53,0))),0)</f>
        <v/>
      </c>
    </row>
    <row r="54">
      <c r="B54" s="21">
        <f>EOMONTH(TODAY(),-3-1)+1</f>
        <v/>
      </c>
      <c r="C54" s="22">
        <f>SUMIFS(T_Reservations[Prix total (TTC)],T_Reservations[Mois],TEXT(B54,"yyyy-mm"),T_Reservations[Statut],"&lt;&gt;Annulée")</f>
        <v/>
      </c>
      <c r="D54" s="23">
        <f>IFERROR(SUMIFS(T_Reservations[Nuits],T_Reservations[Mois],TEXT(B54,"yyyy-mm"),T_Reservations[Statut],"&lt;&gt;Annulée")/(COUNTIF(T_Biens[Statut],"Actif")*DAY(EOMONTH(B54,0))),0)</f>
        <v/>
      </c>
    </row>
    <row r="55">
      <c r="B55" s="21">
        <f>EOMONTH(TODAY(),-2-1)+1</f>
        <v/>
      </c>
      <c r="C55" s="22">
        <f>SUMIFS(T_Reservations[Prix total (TTC)],T_Reservations[Mois],TEXT(B55,"yyyy-mm"),T_Reservations[Statut],"&lt;&gt;Annulée")</f>
        <v/>
      </c>
      <c r="D55" s="23">
        <f>IFERROR(SUMIFS(T_Reservations[Nuits],T_Reservations[Mois],TEXT(B55,"yyyy-mm"),T_Reservations[Statut],"&lt;&gt;Annulée")/(COUNTIF(T_Biens[Statut],"Actif")*DAY(EOMONTH(B55,0))),0)</f>
        <v/>
      </c>
    </row>
    <row r="56">
      <c r="B56" s="21">
        <f>EOMONTH(TODAY(),-1-1)+1</f>
        <v/>
      </c>
      <c r="C56" s="22">
        <f>SUMIFS(T_Reservations[Prix total (TTC)],T_Reservations[Mois],TEXT(B56,"yyyy-mm"),T_Reservations[Statut],"&lt;&gt;Annulée")</f>
        <v/>
      </c>
      <c r="D56" s="23">
        <f>IFERROR(SUMIFS(T_Reservations[Nuits],T_Reservations[Mois],TEXT(B56,"yyyy-mm"),T_Reservations[Statut],"&lt;&gt;Annulée")/(COUNTIF(T_Biens[Statut],"Actif")*DAY(EOMONTH(B56,0))),0)</f>
        <v/>
      </c>
    </row>
    <row r="57">
      <c r="B57" s="21">
        <f>EOMONTH(TODAY(),-0-1)+1</f>
        <v/>
      </c>
      <c r="C57" s="22">
        <f>SUMIFS(T_Reservations[Prix total (TTC)],T_Reservations[Mois],TEXT(B57,"yyyy-mm"),T_Reservations[Statut],"&lt;&gt;Annulée")</f>
        <v/>
      </c>
      <c r="D57" s="23">
        <f>IFERROR(SUMIFS(T_Reservations[Nuits],T_Reservations[Mois],TEXT(B57,"yyyy-mm"),T_Reservations[Statut],"&lt;&gt;Annulée")/(COUNTIF(T_Biens[Statut],"Actif")*DAY(EOMONTH(B57,0))),0)</f>
        <v/>
      </c>
    </row>
    <row r="59">
      <c r="B59" s="24" t="inlineStr">
        <is>
          <t>Hypothèse : le taux d'occupation mensuel affiché ici rattache chaque nuit réservée au mois de la date d'arrivée (approximation simple, sans répartition au prorata pour les séjours à cheval sur deux mois).</t>
        </is>
      </c>
    </row>
    <row r="60"/>
  </sheetData>
  <sheetProtection selectLockedCells="0" selectUnlockedCells="0" sheet="1" objects="0" insertRows="0" insertHyperlinks="1" autoFilter="1" scenarios="0" formatColumns="1" deleteColumns="1" insertColumns="1" pivotTables="1" deleteRows="0" formatCells="0" formatRows="1" sort="1" password="C9B6"/>
  <mergeCells count="33">
    <mergeCell ref="B20:D21"/>
    <mergeCell ref="F5:H5"/>
    <mergeCell ref="G13:I13"/>
    <mergeCell ref="A17:P17"/>
    <mergeCell ref="A23:P23"/>
    <mergeCell ref="A4:P4"/>
    <mergeCell ref="N20:P21"/>
    <mergeCell ref="G15:I15"/>
    <mergeCell ref="B12:F12"/>
    <mergeCell ref="B19:D19"/>
    <mergeCell ref="G14:I14"/>
    <mergeCell ref="F6:H7"/>
    <mergeCell ref="N19:P19"/>
    <mergeCell ref="A44:P44"/>
    <mergeCell ref="A9:P9"/>
    <mergeCell ref="B11:F11"/>
    <mergeCell ref="B59:P60"/>
    <mergeCell ref="B14:F14"/>
    <mergeCell ref="B13:F13"/>
    <mergeCell ref="F20:H21"/>
    <mergeCell ref="B5:D5"/>
    <mergeCell ref="J6:L7"/>
    <mergeCell ref="A1:P1"/>
    <mergeCell ref="G12:I12"/>
    <mergeCell ref="J20:L21"/>
    <mergeCell ref="G11:I11"/>
    <mergeCell ref="J5:L5"/>
    <mergeCell ref="B6:D7"/>
    <mergeCell ref="F19:H19"/>
    <mergeCell ref="B15:F15"/>
    <mergeCell ref="J19:L19"/>
    <mergeCell ref="B25:P40"/>
    <mergeCell ref="A2:P2"/>
  </mergeCells>
  <conditionalFormatting sqref="B20">
    <cfRule type="cellIs" priority="1" operator="greaterThan" dxfId="0">
      <formula>0</formula>
    </cfRule>
    <cfRule type="cellIs" priority="2" operator="equal" dxfId="1">
      <formula>0</formula>
    </cfRule>
  </conditionalFormatting>
  <conditionalFormatting sqref="F20">
    <cfRule type="cellIs" priority="3" operator="greaterThan" dxfId="0">
      <formula>0</formula>
    </cfRule>
    <cfRule type="cellIs" priority="4" operator="equal" dxfId="1">
      <formula>0</formula>
    </cfRule>
  </conditionalFormatting>
  <conditionalFormatting sqref="J20">
    <cfRule type="cellIs" priority="5" operator="greaterThan" dxfId="0">
      <formula>0</formula>
    </cfRule>
    <cfRule type="cellIs" priority="6" operator="equal" dxfId="1">
      <formula>0</formula>
    </cfRule>
  </conditionalFormatting>
  <conditionalFormatting sqref="N20">
    <cfRule type="cellIs" priority="7" operator="greaterThan" dxfId="0">
      <formula>0</formula>
    </cfRule>
    <cfRule type="cellIs" priority="8" operator="equal" dxfId="1">
      <formula>0</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C9A227"/>
    <outlinePr summaryBelow="1" summaryRight="1"/>
    <pageSetUpPr/>
  </sheetPr>
  <dimension ref="A1:T154"/>
  <sheetViews>
    <sheetView showGridLines="0" workbookViewId="0">
      <pane ySplit="4" topLeftCell="A5" activePane="bottomLeft" state="frozen"/>
      <selection pane="bottomLeft" activeCell="A1" sqref="A1"/>
    </sheetView>
  </sheetViews>
  <sheetFormatPr baseColWidth="8" defaultRowHeight="15"/>
  <cols>
    <col width="6" customWidth="1" min="1" max="1"/>
    <col width="10" customWidth="1" min="2" max="2"/>
    <col width="12" customWidth="1" min="3" max="3"/>
    <col width="20" customWidth="1" min="4" max="4"/>
    <col width="20" customWidth="1" min="5" max="5"/>
    <col width="13" customWidth="1" min="6" max="6"/>
    <col width="13" customWidth="1" min="7" max="7"/>
    <col width="8" customWidth="1" min="8" max="8"/>
    <col width="9" customWidth="1" min="9" max="9"/>
    <col width="12" customWidth="1" min="10" max="10"/>
    <col width="10" customWidth="1" min="11" max="11"/>
    <col width="12" customWidth="1" min="12" max="12"/>
    <col width="14" customWidth="1" min="13" max="13"/>
    <col width="12" customWidth="1" min="14" max="14"/>
    <col width="12" customWidth="1" min="15" max="15"/>
    <col width="10" customWidth="1" min="16" max="16"/>
    <col width="10" customWidth="1" min="17" max="17"/>
    <col width="10" customWidth="1" min="18" max="18"/>
    <col width="10" customWidth="1" min="19" max="19"/>
    <col width="24" customWidth="1" min="20" max="20"/>
  </cols>
  <sheetData>
    <row r="1" ht="26" customHeight="1">
      <c r="A1" s="12" t="inlineStr">
        <is>
          <t>RÉSERVATIONS — Directes, Airbnb &amp; Booking</t>
        </is>
      </c>
      <c r="B1" s="2" t="n"/>
      <c r="C1" s="2" t="n"/>
      <c r="D1" s="2" t="n"/>
      <c r="E1" s="2" t="n"/>
      <c r="F1" s="2" t="n"/>
      <c r="G1" s="2" t="n"/>
      <c r="H1" s="2" t="n"/>
      <c r="I1" s="2" t="n"/>
      <c r="J1" s="2" t="n"/>
      <c r="K1" s="2" t="n"/>
      <c r="L1" s="2" t="n"/>
      <c r="M1" s="2" t="n"/>
      <c r="N1" s="2" t="n"/>
      <c r="O1" s="2" t="n"/>
      <c r="P1" s="2" t="n"/>
      <c r="Q1" s="2" t="n"/>
      <c r="R1" s="2" t="n"/>
      <c r="S1" s="2" t="n"/>
      <c r="T1" s="2" t="n"/>
    </row>
    <row r="2">
      <c r="A2" s="25" t="inlineStr">
        <is>
          <t>Ajoutez une réservation en bas du tableau (utilisez l'onglet 'Formulaire Réservation' comme aide de saisie). Cellules dorées = à saisir.</t>
        </is>
      </c>
    </row>
    <row r="4" ht="30" customHeight="1">
      <c r="A4" s="20" t="inlineStr">
        <is>
          <t>N°</t>
        </is>
      </c>
      <c r="B4" s="20" t="inlineStr">
        <is>
          <t>Bien</t>
        </is>
      </c>
      <c r="C4" s="20" t="inlineStr">
        <is>
          <t>Plateforme</t>
        </is>
      </c>
      <c r="D4" s="20" t="inlineStr">
        <is>
          <t>Client</t>
        </is>
      </c>
      <c r="E4" s="20" t="inlineStr">
        <is>
          <t>Contact client</t>
        </is>
      </c>
      <c r="F4" s="20" t="inlineStr">
        <is>
          <t>Arrivée</t>
        </is>
      </c>
      <c r="G4" s="20" t="inlineStr">
        <is>
          <t>Départ</t>
        </is>
      </c>
      <c r="H4" s="20" t="inlineStr">
        <is>
          <t>Nuits</t>
        </is>
      </c>
      <c r="I4" s="20" t="inlineStr">
        <is>
          <t>Voyageurs</t>
        </is>
      </c>
      <c r="J4" s="20" t="inlineStr">
        <is>
          <t>Prix total (TTC)</t>
        </is>
      </c>
      <c r="K4" s="20" t="inlineStr">
        <is>
          <t>Commission plateforme %</t>
        </is>
      </c>
      <c r="L4" s="20" t="inlineStr">
        <is>
          <t>Montant net</t>
        </is>
      </c>
      <c r="M4" s="20" t="inlineStr">
        <is>
          <t>Statut</t>
        </is>
      </c>
      <c r="N4" s="20" t="inlineStr">
        <is>
          <t>Acompte reçu</t>
        </is>
      </c>
      <c r="O4" s="20" t="inlineStr">
        <is>
          <t>Solde dû</t>
        </is>
      </c>
      <c r="P4" s="20" t="inlineStr">
        <is>
          <t>Soldé</t>
        </is>
      </c>
      <c r="Q4" s="20" t="inlineStr">
        <is>
          <t>Ménage fait</t>
        </is>
      </c>
      <c r="R4" s="20" t="inlineStr">
        <is>
          <t>Retard paiement</t>
        </is>
      </c>
      <c r="S4" s="20" t="inlineStr">
        <is>
          <t>Mois</t>
        </is>
      </c>
      <c r="T4" s="20" t="inlineStr">
        <is>
          <t>Notes</t>
        </is>
      </c>
    </row>
    <row r="5">
      <c r="A5" s="26">
        <f>IF(D5="","",ROW()-4)</f>
        <v/>
      </c>
      <c r="B5" s="27" t="inlineStr">
        <is>
          <t>Bien 1</t>
        </is>
      </c>
      <c r="C5" s="27" t="inlineStr">
        <is>
          <t>Airbnb</t>
        </is>
      </c>
      <c r="D5" s="28" t="inlineStr">
        <is>
          <t>Ex: Jean Dupont</t>
        </is>
      </c>
      <c r="E5" s="28" t="inlineStr">
        <is>
          <t>jean.dupont@email.com</t>
        </is>
      </c>
      <c r="F5" s="29" t="inlineStr">
        <is>
          <t>2026-07-10</t>
        </is>
      </c>
      <c r="G5" s="29" t="inlineStr">
        <is>
          <t>2026-07-15</t>
        </is>
      </c>
      <c r="H5" s="26">
        <f>IF(AND(G5&lt;&gt;"",F5&lt;&gt;""),G5-F5,"")</f>
        <v/>
      </c>
      <c r="I5" s="30" t="n">
        <v>2</v>
      </c>
      <c r="J5" s="31" t="n">
        <v>5000</v>
      </c>
      <c r="K5" s="32" t="n">
        <v>0.03</v>
      </c>
      <c r="L5" s="22">
        <f>IF(J5="","",J5*(1-K5))</f>
        <v/>
      </c>
      <c r="M5" s="27" t="inlineStr">
        <is>
          <t>Confirmée</t>
        </is>
      </c>
      <c r="N5" s="31" t="n">
        <v>5000</v>
      </c>
      <c r="O5" s="22">
        <f>IF(J5="","",IF(M5="Annulée",0,J5-N5))</f>
        <v/>
      </c>
      <c r="P5" s="33">
        <f>IF(J5="","",IF(M5="Annulée","-",IF(O5&lt;=0,"Oui","Non")))</f>
        <v/>
      </c>
      <c r="Q5" s="27" t="inlineStr">
        <is>
          <t>Oui</t>
        </is>
      </c>
      <c r="R5" s="33">
        <f>IF(OR(J5="",G5=""),"",IF(AND(M5&lt;&gt;"Annulée",O5&gt;0,G5&lt;TODAY()),"⚠️ Retard",""))</f>
        <v/>
      </c>
      <c r="S5" s="33">
        <f>IF(F5="","",TEXT(F5,"yyyy-mm"))</f>
        <v/>
      </c>
      <c r="T5" s="28" t="inlineStr"/>
    </row>
    <row r="6">
      <c r="A6" s="26">
        <f>IF(D6="","",ROW()-4)</f>
        <v/>
      </c>
      <c r="B6" s="27" t="inlineStr"/>
      <c r="C6" s="27" t="inlineStr"/>
      <c r="D6" s="28" t="inlineStr"/>
      <c r="E6" s="28" t="inlineStr"/>
      <c r="F6" s="29" t="n"/>
      <c r="G6" s="29" t="n"/>
      <c r="H6" s="26">
        <f>IF(AND(G6&lt;&gt;"",F6&lt;&gt;""),G6-F6,"")</f>
        <v/>
      </c>
      <c r="I6" s="30" t="n"/>
      <c r="J6" s="31" t="n"/>
      <c r="K6" s="32" t="n"/>
      <c r="L6" s="22">
        <f>IF(J6="","",J6*(1-K6))</f>
        <v/>
      </c>
      <c r="M6" s="27" t="inlineStr"/>
      <c r="N6" s="31" t="n"/>
      <c r="O6" s="22">
        <f>IF(J6="","",IF(M6="Annulée",0,J6-N6))</f>
        <v/>
      </c>
      <c r="P6" s="33">
        <f>IF(J6="","",IF(M6="Annulée","-",IF(O6&lt;=0,"Oui","Non")))</f>
        <v/>
      </c>
      <c r="Q6" s="27" t="inlineStr"/>
      <c r="R6" s="33">
        <f>IF(OR(J6="",G6=""),"",IF(AND(M6&lt;&gt;"Annulée",O6&gt;0,G6&lt;TODAY()),"⚠️ Retard",""))</f>
        <v/>
      </c>
      <c r="S6" s="33">
        <f>IF(F6="","",TEXT(F6,"yyyy-mm"))</f>
        <v/>
      </c>
      <c r="T6" s="28" t="inlineStr"/>
    </row>
    <row r="7">
      <c r="A7" s="26">
        <f>IF(D7="","",ROW()-4)</f>
        <v/>
      </c>
      <c r="B7" s="27" t="inlineStr"/>
      <c r="C7" s="27" t="inlineStr"/>
      <c r="D7" s="28" t="inlineStr"/>
      <c r="E7" s="28" t="inlineStr"/>
      <c r="F7" s="29" t="n"/>
      <c r="G7" s="29" t="n"/>
      <c r="H7" s="26">
        <f>IF(AND(G7&lt;&gt;"",F7&lt;&gt;""),G7-F7,"")</f>
        <v/>
      </c>
      <c r="I7" s="30" t="n"/>
      <c r="J7" s="31" t="n"/>
      <c r="K7" s="32" t="n"/>
      <c r="L7" s="22">
        <f>IF(J7="","",J7*(1-K7))</f>
        <v/>
      </c>
      <c r="M7" s="27" t="inlineStr"/>
      <c r="N7" s="31" t="n"/>
      <c r="O7" s="22">
        <f>IF(J7="","",IF(M7="Annulée",0,J7-N7))</f>
        <v/>
      </c>
      <c r="P7" s="33">
        <f>IF(J7="","",IF(M7="Annulée","-",IF(O7&lt;=0,"Oui","Non")))</f>
        <v/>
      </c>
      <c r="Q7" s="27" t="inlineStr"/>
      <c r="R7" s="33">
        <f>IF(OR(J7="",G7=""),"",IF(AND(M7&lt;&gt;"Annulée",O7&gt;0,G7&lt;TODAY()),"⚠️ Retard",""))</f>
        <v/>
      </c>
      <c r="S7" s="33">
        <f>IF(F7="","",TEXT(F7,"yyyy-mm"))</f>
        <v/>
      </c>
      <c r="T7" s="28" t="inlineStr"/>
    </row>
    <row r="8">
      <c r="A8" s="26">
        <f>IF(D8="","",ROW()-4)</f>
        <v/>
      </c>
      <c r="B8" s="27" t="inlineStr"/>
      <c r="C8" s="27" t="inlineStr"/>
      <c r="D8" s="28" t="inlineStr"/>
      <c r="E8" s="28" t="inlineStr"/>
      <c r="F8" s="29" t="n"/>
      <c r="G8" s="29" t="n"/>
      <c r="H8" s="26">
        <f>IF(AND(G8&lt;&gt;"",F8&lt;&gt;""),G8-F8,"")</f>
        <v/>
      </c>
      <c r="I8" s="30" t="n"/>
      <c r="J8" s="31" t="n"/>
      <c r="K8" s="32" t="n"/>
      <c r="L8" s="22">
        <f>IF(J8="","",J8*(1-K8))</f>
        <v/>
      </c>
      <c r="M8" s="27" t="inlineStr"/>
      <c r="N8" s="31" t="n"/>
      <c r="O8" s="22">
        <f>IF(J8="","",IF(M8="Annulée",0,J8-N8))</f>
        <v/>
      </c>
      <c r="P8" s="33">
        <f>IF(J8="","",IF(M8="Annulée","-",IF(O8&lt;=0,"Oui","Non")))</f>
        <v/>
      </c>
      <c r="Q8" s="27" t="inlineStr"/>
      <c r="R8" s="33">
        <f>IF(OR(J8="",G8=""),"",IF(AND(M8&lt;&gt;"Annulée",O8&gt;0,G8&lt;TODAY()),"⚠️ Retard",""))</f>
        <v/>
      </c>
      <c r="S8" s="33">
        <f>IF(F8="","",TEXT(F8,"yyyy-mm"))</f>
        <v/>
      </c>
      <c r="T8" s="28" t="inlineStr"/>
    </row>
    <row r="9">
      <c r="A9" s="26">
        <f>IF(D9="","",ROW()-4)</f>
        <v/>
      </c>
      <c r="B9" s="27" t="inlineStr"/>
      <c r="C9" s="27" t="inlineStr"/>
      <c r="D9" s="28" t="inlineStr"/>
      <c r="E9" s="28" t="inlineStr"/>
      <c r="F9" s="29" t="n"/>
      <c r="G9" s="29" t="n"/>
      <c r="H9" s="26">
        <f>IF(AND(G9&lt;&gt;"",F9&lt;&gt;""),G9-F9,"")</f>
        <v/>
      </c>
      <c r="I9" s="30" t="n"/>
      <c r="J9" s="31" t="n"/>
      <c r="K9" s="32" t="n"/>
      <c r="L9" s="22">
        <f>IF(J9="","",J9*(1-K9))</f>
        <v/>
      </c>
      <c r="M9" s="27" t="inlineStr"/>
      <c r="N9" s="31" t="n"/>
      <c r="O9" s="22">
        <f>IF(J9="","",IF(M9="Annulée",0,J9-N9))</f>
        <v/>
      </c>
      <c r="P9" s="33">
        <f>IF(J9="","",IF(M9="Annulée","-",IF(O9&lt;=0,"Oui","Non")))</f>
        <v/>
      </c>
      <c r="Q9" s="27" t="inlineStr"/>
      <c r="R9" s="33">
        <f>IF(OR(J9="",G9=""),"",IF(AND(M9&lt;&gt;"Annulée",O9&gt;0,G9&lt;TODAY()),"⚠️ Retard",""))</f>
        <v/>
      </c>
      <c r="S9" s="33">
        <f>IF(F9="","",TEXT(F9,"yyyy-mm"))</f>
        <v/>
      </c>
      <c r="T9" s="28" t="inlineStr"/>
    </row>
    <row r="10">
      <c r="A10" s="26">
        <f>IF(D10="","",ROW()-4)</f>
        <v/>
      </c>
      <c r="B10" s="27" t="inlineStr"/>
      <c r="C10" s="27" t="inlineStr"/>
      <c r="D10" s="28" t="inlineStr"/>
      <c r="E10" s="28" t="inlineStr"/>
      <c r="F10" s="29" t="n"/>
      <c r="G10" s="29" t="n"/>
      <c r="H10" s="26">
        <f>IF(AND(G10&lt;&gt;"",F10&lt;&gt;""),G10-F10,"")</f>
        <v/>
      </c>
      <c r="I10" s="30" t="n"/>
      <c r="J10" s="31" t="n"/>
      <c r="K10" s="32" t="n"/>
      <c r="L10" s="22">
        <f>IF(J10="","",J10*(1-K10))</f>
        <v/>
      </c>
      <c r="M10" s="27" t="inlineStr"/>
      <c r="N10" s="31" t="n"/>
      <c r="O10" s="22">
        <f>IF(J10="","",IF(M10="Annulée",0,J10-N10))</f>
        <v/>
      </c>
      <c r="P10" s="33">
        <f>IF(J10="","",IF(M10="Annulée","-",IF(O10&lt;=0,"Oui","Non")))</f>
        <v/>
      </c>
      <c r="Q10" s="27" t="inlineStr"/>
      <c r="R10" s="33">
        <f>IF(OR(J10="",G10=""),"",IF(AND(M10&lt;&gt;"Annulée",O10&gt;0,G10&lt;TODAY()),"⚠️ Retard",""))</f>
        <v/>
      </c>
      <c r="S10" s="33">
        <f>IF(F10="","",TEXT(F10,"yyyy-mm"))</f>
        <v/>
      </c>
      <c r="T10" s="28" t="inlineStr"/>
    </row>
    <row r="11">
      <c r="A11" s="26">
        <f>IF(D11="","",ROW()-4)</f>
        <v/>
      </c>
      <c r="B11" s="27" t="inlineStr"/>
      <c r="C11" s="27" t="inlineStr"/>
      <c r="D11" s="28" t="inlineStr"/>
      <c r="E11" s="28" t="inlineStr"/>
      <c r="F11" s="29" t="n"/>
      <c r="G11" s="29" t="n"/>
      <c r="H11" s="26">
        <f>IF(AND(G11&lt;&gt;"",F11&lt;&gt;""),G11-F11,"")</f>
        <v/>
      </c>
      <c r="I11" s="30" t="n"/>
      <c r="J11" s="31" t="n"/>
      <c r="K11" s="32" t="n"/>
      <c r="L11" s="22">
        <f>IF(J11="","",J11*(1-K11))</f>
        <v/>
      </c>
      <c r="M11" s="27" t="inlineStr"/>
      <c r="N11" s="31" t="n"/>
      <c r="O11" s="22">
        <f>IF(J11="","",IF(M11="Annulée",0,J11-N11))</f>
        <v/>
      </c>
      <c r="P11" s="33">
        <f>IF(J11="","",IF(M11="Annulée","-",IF(O11&lt;=0,"Oui","Non")))</f>
        <v/>
      </c>
      <c r="Q11" s="27" t="inlineStr"/>
      <c r="R11" s="33">
        <f>IF(OR(J11="",G11=""),"",IF(AND(M11&lt;&gt;"Annulée",O11&gt;0,G11&lt;TODAY()),"⚠️ Retard",""))</f>
        <v/>
      </c>
      <c r="S11" s="33">
        <f>IF(F11="","",TEXT(F11,"yyyy-mm"))</f>
        <v/>
      </c>
      <c r="T11" s="28" t="inlineStr"/>
    </row>
    <row r="12">
      <c r="A12" s="26">
        <f>IF(D12="","",ROW()-4)</f>
        <v/>
      </c>
      <c r="B12" s="27" t="inlineStr"/>
      <c r="C12" s="27" t="inlineStr"/>
      <c r="D12" s="28" t="inlineStr"/>
      <c r="E12" s="28" t="inlineStr"/>
      <c r="F12" s="29" t="n"/>
      <c r="G12" s="29" t="n"/>
      <c r="H12" s="26">
        <f>IF(AND(G12&lt;&gt;"",F12&lt;&gt;""),G12-F12,"")</f>
        <v/>
      </c>
      <c r="I12" s="30" t="n"/>
      <c r="J12" s="31" t="n"/>
      <c r="K12" s="32" t="n"/>
      <c r="L12" s="22">
        <f>IF(J12="","",J12*(1-K12))</f>
        <v/>
      </c>
      <c r="M12" s="27" t="inlineStr"/>
      <c r="N12" s="31" t="n"/>
      <c r="O12" s="22">
        <f>IF(J12="","",IF(M12="Annulée",0,J12-N12))</f>
        <v/>
      </c>
      <c r="P12" s="33">
        <f>IF(J12="","",IF(M12="Annulée","-",IF(O12&lt;=0,"Oui","Non")))</f>
        <v/>
      </c>
      <c r="Q12" s="27" t="inlineStr"/>
      <c r="R12" s="33">
        <f>IF(OR(J12="",G12=""),"",IF(AND(M12&lt;&gt;"Annulée",O12&gt;0,G12&lt;TODAY()),"⚠️ Retard",""))</f>
        <v/>
      </c>
      <c r="S12" s="33">
        <f>IF(F12="","",TEXT(F12,"yyyy-mm"))</f>
        <v/>
      </c>
      <c r="T12" s="28" t="inlineStr"/>
    </row>
    <row r="13">
      <c r="A13" s="26">
        <f>IF(D13="","",ROW()-4)</f>
        <v/>
      </c>
      <c r="B13" s="27" t="inlineStr"/>
      <c r="C13" s="27" t="inlineStr"/>
      <c r="D13" s="28" t="inlineStr"/>
      <c r="E13" s="28" t="inlineStr"/>
      <c r="F13" s="29" t="n"/>
      <c r="G13" s="29" t="n"/>
      <c r="H13" s="26">
        <f>IF(AND(G13&lt;&gt;"",F13&lt;&gt;""),G13-F13,"")</f>
        <v/>
      </c>
      <c r="I13" s="30" t="n"/>
      <c r="J13" s="31" t="n"/>
      <c r="K13" s="32" t="n"/>
      <c r="L13" s="22">
        <f>IF(J13="","",J13*(1-K13))</f>
        <v/>
      </c>
      <c r="M13" s="27" t="inlineStr"/>
      <c r="N13" s="31" t="n"/>
      <c r="O13" s="22">
        <f>IF(J13="","",IF(M13="Annulée",0,J13-N13))</f>
        <v/>
      </c>
      <c r="P13" s="33">
        <f>IF(J13="","",IF(M13="Annulée","-",IF(O13&lt;=0,"Oui","Non")))</f>
        <v/>
      </c>
      <c r="Q13" s="27" t="inlineStr"/>
      <c r="R13" s="33">
        <f>IF(OR(J13="",G13=""),"",IF(AND(M13&lt;&gt;"Annulée",O13&gt;0,G13&lt;TODAY()),"⚠️ Retard",""))</f>
        <v/>
      </c>
      <c r="S13" s="33">
        <f>IF(F13="","",TEXT(F13,"yyyy-mm"))</f>
        <v/>
      </c>
      <c r="T13" s="28" t="inlineStr"/>
    </row>
    <row r="14">
      <c r="A14" s="26">
        <f>IF(D14="","",ROW()-4)</f>
        <v/>
      </c>
      <c r="B14" s="27" t="inlineStr"/>
      <c r="C14" s="27" t="inlineStr"/>
      <c r="D14" s="28" t="inlineStr"/>
      <c r="E14" s="28" t="inlineStr"/>
      <c r="F14" s="29" t="n"/>
      <c r="G14" s="29" t="n"/>
      <c r="H14" s="26">
        <f>IF(AND(G14&lt;&gt;"",F14&lt;&gt;""),G14-F14,"")</f>
        <v/>
      </c>
      <c r="I14" s="30" t="n"/>
      <c r="J14" s="31" t="n"/>
      <c r="K14" s="32" t="n"/>
      <c r="L14" s="22">
        <f>IF(J14="","",J14*(1-K14))</f>
        <v/>
      </c>
      <c r="M14" s="27" t="inlineStr"/>
      <c r="N14" s="31" t="n"/>
      <c r="O14" s="22">
        <f>IF(J14="","",IF(M14="Annulée",0,J14-N14))</f>
        <v/>
      </c>
      <c r="P14" s="33">
        <f>IF(J14="","",IF(M14="Annulée","-",IF(O14&lt;=0,"Oui","Non")))</f>
        <v/>
      </c>
      <c r="Q14" s="27" t="inlineStr"/>
      <c r="R14" s="33">
        <f>IF(OR(J14="",G14=""),"",IF(AND(M14&lt;&gt;"Annulée",O14&gt;0,G14&lt;TODAY()),"⚠️ Retard",""))</f>
        <v/>
      </c>
      <c r="S14" s="33">
        <f>IF(F14="","",TEXT(F14,"yyyy-mm"))</f>
        <v/>
      </c>
      <c r="T14" s="28" t="inlineStr"/>
    </row>
    <row r="15">
      <c r="A15" s="26">
        <f>IF(D15="","",ROW()-4)</f>
        <v/>
      </c>
      <c r="B15" s="27" t="inlineStr"/>
      <c r="C15" s="27" t="inlineStr"/>
      <c r="D15" s="28" t="inlineStr"/>
      <c r="E15" s="28" t="inlineStr"/>
      <c r="F15" s="29" t="n"/>
      <c r="G15" s="29" t="n"/>
      <c r="H15" s="26">
        <f>IF(AND(G15&lt;&gt;"",F15&lt;&gt;""),G15-F15,"")</f>
        <v/>
      </c>
      <c r="I15" s="30" t="n"/>
      <c r="J15" s="31" t="n"/>
      <c r="K15" s="32" t="n"/>
      <c r="L15" s="22">
        <f>IF(J15="","",J15*(1-K15))</f>
        <v/>
      </c>
      <c r="M15" s="27" t="inlineStr"/>
      <c r="N15" s="31" t="n"/>
      <c r="O15" s="22">
        <f>IF(J15="","",IF(M15="Annulée",0,J15-N15))</f>
        <v/>
      </c>
      <c r="P15" s="33">
        <f>IF(J15="","",IF(M15="Annulée","-",IF(O15&lt;=0,"Oui","Non")))</f>
        <v/>
      </c>
      <c r="Q15" s="27" t="inlineStr"/>
      <c r="R15" s="33">
        <f>IF(OR(J15="",G15=""),"",IF(AND(M15&lt;&gt;"Annulée",O15&gt;0,G15&lt;TODAY()),"⚠️ Retard",""))</f>
        <v/>
      </c>
      <c r="S15" s="33">
        <f>IF(F15="","",TEXT(F15,"yyyy-mm"))</f>
        <v/>
      </c>
      <c r="T15" s="28" t="inlineStr"/>
    </row>
    <row r="16">
      <c r="A16" s="26">
        <f>IF(D16="","",ROW()-4)</f>
        <v/>
      </c>
      <c r="B16" s="27" t="inlineStr"/>
      <c r="C16" s="27" t="inlineStr"/>
      <c r="D16" s="28" t="inlineStr"/>
      <c r="E16" s="28" t="inlineStr"/>
      <c r="F16" s="29" t="n"/>
      <c r="G16" s="29" t="n"/>
      <c r="H16" s="26">
        <f>IF(AND(G16&lt;&gt;"",F16&lt;&gt;""),G16-F16,"")</f>
        <v/>
      </c>
      <c r="I16" s="30" t="n"/>
      <c r="J16" s="31" t="n"/>
      <c r="K16" s="32" t="n"/>
      <c r="L16" s="22">
        <f>IF(J16="","",J16*(1-K16))</f>
        <v/>
      </c>
      <c r="M16" s="27" t="inlineStr"/>
      <c r="N16" s="31" t="n"/>
      <c r="O16" s="22">
        <f>IF(J16="","",IF(M16="Annulée",0,J16-N16))</f>
        <v/>
      </c>
      <c r="P16" s="33">
        <f>IF(J16="","",IF(M16="Annulée","-",IF(O16&lt;=0,"Oui","Non")))</f>
        <v/>
      </c>
      <c r="Q16" s="27" t="inlineStr"/>
      <c r="R16" s="33">
        <f>IF(OR(J16="",G16=""),"",IF(AND(M16&lt;&gt;"Annulée",O16&gt;0,G16&lt;TODAY()),"⚠️ Retard",""))</f>
        <v/>
      </c>
      <c r="S16" s="33">
        <f>IF(F16="","",TEXT(F16,"yyyy-mm"))</f>
        <v/>
      </c>
      <c r="T16" s="28" t="inlineStr"/>
    </row>
    <row r="17">
      <c r="A17" s="26">
        <f>IF(D17="","",ROW()-4)</f>
        <v/>
      </c>
      <c r="B17" s="27" t="inlineStr"/>
      <c r="C17" s="27" t="inlineStr"/>
      <c r="D17" s="28" t="inlineStr"/>
      <c r="E17" s="28" t="inlineStr"/>
      <c r="F17" s="29" t="n"/>
      <c r="G17" s="29" t="n"/>
      <c r="H17" s="26">
        <f>IF(AND(G17&lt;&gt;"",F17&lt;&gt;""),G17-F17,"")</f>
        <v/>
      </c>
      <c r="I17" s="30" t="n"/>
      <c r="J17" s="31" t="n"/>
      <c r="K17" s="32" t="n"/>
      <c r="L17" s="22">
        <f>IF(J17="","",J17*(1-K17))</f>
        <v/>
      </c>
      <c r="M17" s="27" t="inlineStr"/>
      <c r="N17" s="31" t="n"/>
      <c r="O17" s="22">
        <f>IF(J17="","",IF(M17="Annulée",0,J17-N17))</f>
        <v/>
      </c>
      <c r="P17" s="33">
        <f>IF(J17="","",IF(M17="Annulée","-",IF(O17&lt;=0,"Oui","Non")))</f>
        <v/>
      </c>
      <c r="Q17" s="27" t="inlineStr"/>
      <c r="R17" s="33">
        <f>IF(OR(J17="",G17=""),"",IF(AND(M17&lt;&gt;"Annulée",O17&gt;0,G17&lt;TODAY()),"⚠️ Retard",""))</f>
        <v/>
      </c>
      <c r="S17" s="33">
        <f>IF(F17="","",TEXT(F17,"yyyy-mm"))</f>
        <v/>
      </c>
      <c r="T17" s="28" t="inlineStr"/>
    </row>
    <row r="18">
      <c r="A18" s="26">
        <f>IF(D18="","",ROW()-4)</f>
        <v/>
      </c>
      <c r="B18" s="27" t="inlineStr"/>
      <c r="C18" s="27" t="inlineStr"/>
      <c r="D18" s="28" t="inlineStr"/>
      <c r="E18" s="28" t="inlineStr"/>
      <c r="F18" s="29" t="n"/>
      <c r="G18" s="29" t="n"/>
      <c r="H18" s="26">
        <f>IF(AND(G18&lt;&gt;"",F18&lt;&gt;""),G18-F18,"")</f>
        <v/>
      </c>
      <c r="I18" s="30" t="n"/>
      <c r="J18" s="31" t="n"/>
      <c r="K18" s="32" t="n"/>
      <c r="L18" s="22">
        <f>IF(J18="","",J18*(1-K18))</f>
        <v/>
      </c>
      <c r="M18" s="27" t="inlineStr"/>
      <c r="N18" s="31" t="n"/>
      <c r="O18" s="22">
        <f>IF(J18="","",IF(M18="Annulée",0,J18-N18))</f>
        <v/>
      </c>
      <c r="P18" s="33">
        <f>IF(J18="","",IF(M18="Annulée","-",IF(O18&lt;=0,"Oui","Non")))</f>
        <v/>
      </c>
      <c r="Q18" s="27" t="inlineStr"/>
      <c r="R18" s="33">
        <f>IF(OR(J18="",G18=""),"",IF(AND(M18&lt;&gt;"Annulée",O18&gt;0,G18&lt;TODAY()),"⚠️ Retard",""))</f>
        <v/>
      </c>
      <c r="S18" s="33">
        <f>IF(F18="","",TEXT(F18,"yyyy-mm"))</f>
        <v/>
      </c>
      <c r="T18" s="28" t="inlineStr"/>
    </row>
    <row r="19">
      <c r="A19" s="26">
        <f>IF(D19="","",ROW()-4)</f>
        <v/>
      </c>
      <c r="B19" s="27" t="inlineStr"/>
      <c r="C19" s="27" t="inlineStr"/>
      <c r="D19" s="28" t="inlineStr"/>
      <c r="E19" s="28" t="inlineStr"/>
      <c r="F19" s="29" t="n"/>
      <c r="G19" s="29" t="n"/>
      <c r="H19" s="26">
        <f>IF(AND(G19&lt;&gt;"",F19&lt;&gt;""),G19-F19,"")</f>
        <v/>
      </c>
      <c r="I19" s="30" t="n"/>
      <c r="J19" s="31" t="n"/>
      <c r="K19" s="32" t="n"/>
      <c r="L19" s="22">
        <f>IF(J19="","",J19*(1-K19))</f>
        <v/>
      </c>
      <c r="M19" s="27" t="inlineStr"/>
      <c r="N19" s="31" t="n"/>
      <c r="O19" s="22">
        <f>IF(J19="","",IF(M19="Annulée",0,J19-N19))</f>
        <v/>
      </c>
      <c r="P19" s="33">
        <f>IF(J19="","",IF(M19="Annulée","-",IF(O19&lt;=0,"Oui","Non")))</f>
        <v/>
      </c>
      <c r="Q19" s="27" t="inlineStr"/>
      <c r="R19" s="33">
        <f>IF(OR(J19="",G19=""),"",IF(AND(M19&lt;&gt;"Annulée",O19&gt;0,G19&lt;TODAY()),"⚠️ Retard",""))</f>
        <v/>
      </c>
      <c r="S19" s="33">
        <f>IF(F19="","",TEXT(F19,"yyyy-mm"))</f>
        <v/>
      </c>
      <c r="T19" s="28" t="inlineStr"/>
    </row>
    <row r="20">
      <c r="A20" s="26">
        <f>IF(D20="","",ROW()-4)</f>
        <v/>
      </c>
      <c r="B20" s="27" t="inlineStr"/>
      <c r="C20" s="27" t="inlineStr"/>
      <c r="D20" s="28" t="inlineStr"/>
      <c r="E20" s="28" t="inlineStr"/>
      <c r="F20" s="29" t="n"/>
      <c r="G20" s="29" t="n"/>
      <c r="H20" s="26">
        <f>IF(AND(G20&lt;&gt;"",F20&lt;&gt;""),G20-F20,"")</f>
        <v/>
      </c>
      <c r="I20" s="30" t="n"/>
      <c r="J20" s="31" t="n"/>
      <c r="K20" s="32" t="n"/>
      <c r="L20" s="22">
        <f>IF(J20="","",J20*(1-K20))</f>
        <v/>
      </c>
      <c r="M20" s="27" t="inlineStr"/>
      <c r="N20" s="31" t="n"/>
      <c r="O20" s="22">
        <f>IF(J20="","",IF(M20="Annulée",0,J20-N20))</f>
        <v/>
      </c>
      <c r="P20" s="33">
        <f>IF(J20="","",IF(M20="Annulée","-",IF(O20&lt;=0,"Oui","Non")))</f>
        <v/>
      </c>
      <c r="Q20" s="27" t="inlineStr"/>
      <c r="R20" s="33">
        <f>IF(OR(J20="",G20=""),"",IF(AND(M20&lt;&gt;"Annulée",O20&gt;0,G20&lt;TODAY()),"⚠️ Retard",""))</f>
        <v/>
      </c>
      <c r="S20" s="33">
        <f>IF(F20="","",TEXT(F20,"yyyy-mm"))</f>
        <v/>
      </c>
      <c r="T20" s="28" t="inlineStr"/>
    </row>
    <row r="21">
      <c r="A21" s="26">
        <f>IF(D21="","",ROW()-4)</f>
        <v/>
      </c>
      <c r="B21" s="27" t="inlineStr"/>
      <c r="C21" s="27" t="inlineStr"/>
      <c r="D21" s="28" t="inlineStr"/>
      <c r="E21" s="28" t="inlineStr"/>
      <c r="F21" s="29" t="n"/>
      <c r="G21" s="29" t="n"/>
      <c r="H21" s="26">
        <f>IF(AND(G21&lt;&gt;"",F21&lt;&gt;""),G21-F21,"")</f>
        <v/>
      </c>
      <c r="I21" s="30" t="n"/>
      <c r="J21" s="31" t="n"/>
      <c r="K21" s="32" t="n"/>
      <c r="L21" s="22">
        <f>IF(J21="","",J21*(1-K21))</f>
        <v/>
      </c>
      <c r="M21" s="27" t="inlineStr"/>
      <c r="N21" s="31" t="n"/>
      <c r="O21" s="22">
        <f>IF(J21="","",IF(M21="Annulée",0,J21-N21))</f>
        <v/>
      </c>
      <c r="P21" s="33">
        <f>IF(J21="","",IF(M21="Annulée","-",IF(O21&lt;=0,"Oui","Non")))</f>
        <v/>
      </c>
      <c r="Q21" s="27" t="inlineStr"/>
      <c r="R21" s="33">
        <f>IF(OR(J21="",G21=""),"",IF(AND(M21&lt;&gt;"Annulée",O21&gt;0,G21&lt;TODAY()),"⚠️ Retard",""))</f>
        <v/>
      </c>
      <c r="S21" s="33">
        <f>IF(F21="","",TEXT(F21,"yyyy-mm"))</f>
        <v/>
      </c>
      <c r="T21" s="28" t="inlineStr"/>
    </row>
    <row r="22">
      <c r="A22" s="26">
        <f>IF(D22="","",ROW()-4)</f>
        <v/>
      </c>
      <c r="B22" s="27" t="inlineStr"/>
      <c r="C22" s="27" t="inlineStr"/>
      <c r="D22" s="28" t="inlineStr"/>
      <c r="E22" s="28" t="inlineStr"/>
      <c r="F22" s="29" t="n"/>
      <c r="G22" s="29" t="n"/>
      <c r="H22" s="26">
        <f>IF(AND(G22&lt;&gt;"",F22&lt;&gt;""),G22-F22,"")</f>
        <v/>
      </c>
      <c r="I22" s="30" t="n"/>
      <c r="J22" s="31" t="n"/>
      <c r="K22" s="32" t="n"/>
      <c r="L22" s="22">
        <f>IF(J22="","",J22*(1-K22))</f>
        <v/>
      </c>
      <c r="M22" s="27" t="inlineStr"/>
      <c r="N22" s="31" t="n"/>
      <c r="O22" s="22">
        <f>IF(J22="","",IF(M22="Annulée",0,J22-N22))</f>
        <v/>
      </c>
      <c r="P22" s="33">
        <f>IF(J22="","",IF(M22="Annulée","-",IF(O22&lt;=0,"Oui","Non")))</f>
        <v/>
      </c>
      <c r="Q22" s="27" t="inlineStr"/>
      <c r="R22" s="33">
        <f>IF(OR(J22="",G22=""),"",IF(AND(M22&lt;&gt;"Annulée",O22&gt;0,G22&lt;TODAY()),"⚠️ Retard",""))</f>
        <v/>
      </c>
      <c r="S22" s="33">
        <f>IF(F22="","",TEXT(F22,"yyyy-mm"))</f>
        <v/>
      </c>
      <c r="T22" s="28" t="inlineStr"/>
    </row>
    <row r="23">
      <c r="A23" s="26">
        <f>IF(D23="","",ROW()-4)</f>
        <v/>
      </c>
      <c r="B23" s="27" t="inlineStr"/>
      <c r="C23" s="27" t="inlineStr"/>
      <c r="D23" s="28" t="inlineStr"/>
      <c r="E23" s="28" t="inlineStr"/>
      <c r="F23" s="29" t="n"/>
      <c r="G23" s="29" t="n"/>
      <c r="H23" s="26">
        <f>IF(AND(G23&lt;&gt;"",F23&lt;&gt;""),G23-F23,"")</f>
        <v/>
      </c>
      <c r="I23" s="30" t="n"/>
      <c r="J23" s="31" t="n"/>
      <c r="K23" s="32" t="n"/>
      <c r="L23" s="22">
        <f>IF(J23="","",J23*(1-K23))</f>
        <v/>
      </c>
      <c r="M23" s="27" t="inlineStr"/>
      <c r="N23" s="31" t="n"/>
      <c r="O23" s="22">
        <f>IF(J23="","",IF(M23="Annulée",0,J23-N23))</f>
        <v/>
      </c>
      <c r="P23" s="33">
        <f>IF(J23="","",IF(M23="Annulée","-",IF(O23&lt;=0,"Oui","Non")))</f>
        <v/>
      </c>
      <c r="Q23" s="27" t="inlineStr"/>
      <c r="R23" s="33">
        <f>IF(OR(J23="",G23=""),"",IF(AND(M23&lt;&gt;"Annulée",O23&gt;0,G23&lt;TODAY()),"⚠️ Retard",""))</f>
        <v/>
      </c>
      <c r="S23" s="33">
        <f>IF(F23="","",TEXT(F23,"yyyy-mm"))</f>
        <v/>
      </c>
      <c r="T23" s="28" t="inlineStr"/>
    </row>
    <row r="24">
      <c r="A24" s="26">
        <f>IF(D24="","",ROW()-4)</f>
        <v/>
      </c>
      <c r="B24" s="27" t="inlineStr"/>
      <c r="C24" s="27" t="inlineStr"/>
      <c r="D24" s="28" t="inlineStr"/>
      <c r="E24" s="28" t="inlineStr"/>
      <c r="F24" s="29" t="n"/>
      <c r="G24" s="29" t="n"/>
      <c r="H24" s="26">
        <f>IF(AND(G24&lt;&gt;"",F24&lt;&gt;""),G24-F24,"")</f>
        <v/>
      </c>
      <c r="I24" s="30" t="n"/>
      <c r="J24" s="31" t="n"/>
      <c r="K24" s="32" t="n"/>
      <c r="L24" s="22">
        <f>IF(J24="","",J24*(1-K24))</f>
        <v/>
      </c>
      <c r="M24" s="27" t="inlineStr"/>
      <c r="N24" s="31" t="n"/>
      <c r="O24" s="22">
        <f>IF(J24="","",IF(M24="Annulée",0,J24-N24))</f>
        <v/>
      </c>
      <c r="P24" s="33">
        <f>IF(J24="","",IF(M24="Annulée","-",IF(O24&lt;=0,"Oui","Non")))</f>
        <v/>
      </c>
      <c r="Q24" s="27" t="inlineStr"/>
      <c r="R24" s="33">
        <f>IF(OR(J24="",G24=""),"",IF(AND(M24&lt;&gt;"Annulée",O24&gt;0,G24&lt;TODAY()),"⚠️ Retard",""))</f>
        <v/>
      </c>
      <c r="S24" s="33">
        <f>IF(F24="","",TEXT(F24,"yyyy-mm"))</f>
        <v/>
      </c>
      <c r="T24" s="28" t="inlineStr"/>
    </row>
    <row r="25">
      <c r="A25" s="26">
        <f>IF(D25="","",ROW()-4)</f>
        <v/>
      </c>
      <c r="B25" s="27" t="inlineStr"/>
      <c r="C25" s="27" t="inlineStr"/>
      <c r="D25" s="28" t="inlineStr"/>
      <c r="E25" s="28" t="inlineStr"/>
      <c r="F25" s="29" t="n"/>
      <c r="G25" s="29" t="n"/>
      <c r="H25" s="26">
        <f>IF(AND(G25&lt;&gt;"",F25&lt;&gt;""),G25-F25,"")</f>
        <v/>
      </c>
      <c r="I25" s="30" t="n"/>
      <c r="J25" s="31" t="n"/>
      <c r="K25" s="32" t="n"/>
      <c r="L25" s="22">
        <f>IF(J25="","",J25*(1-K25))</f>
        <v/>
      </c>
      <c r="M25" s="27" t="inlineStr"/>
      <c r="N25" s="31" t="n"/>
      <c r="O25" s="22">
        <f>IF(J25="","",IF(M25="Annulée",0,J25-N25))</f>
        <v/>
      </c>
      <c r="P25" s="33">
        <f>IF(J25="","",IF(M25="Annulée","-",IF(O25&lt;=0,"Oui","Non")))</f>
        <v/>
      </c>
      <c r="Q25" s="27" t="inlineStr"/>
      <c r="R25" s="33">
        <f>IF(OR(J25="",G25=""),"",IF(AND(M25&lt;&gt;"Annulée",O25&gt;0,G25&lt;TODAY()),"⚠️ Retard",""))</f>
        <v/>
      </c>
      <c r="S25" s="33">
        <f>IF(F25="","",TEXT(F25,"yyyy-mm"))</f>
        <v/>
      </c>
      <c r="T25" s="28" t="inlineStr"/>
    </row>
    <row r="26">
      <c r="A26" s="26">
        <f>IF(D26="","",ROW()-4)</f>
        <v/>
      </c>
      <c r="B26" s="27" t="inlineStr"/>
      <c r="C26" s="27" t="inlineStr"/>
      <c r="D26" s="28" t="inlineStr"/>
      <c r="E26" s="28" t="inlineStr"/>
      <c r="F26" s="29" t="n"/>
      <c r="G26" s="29" t="n"/>
      <c r="H26" s="26">
        <f>IF(AND(G26&lt;&gt;"",F26&lt;&gt;""),G26-F26,"")</f>
        <v/>
      </c>
      <c r="I26" s="30" t="n"/>
      <c r="J26" s="31" t="n"/>
      <c r="K26" s="32" t="n"/>
      <c r="L26" s="22">
        <f>IF(J26="","",J26*(1-K26))</f>
        <v/>
      </c>
      <c r="M26" s="27" t="inlineStr"/>
      <c r="N26" s="31" t="n"/>
      <c r="O26" s="22">
        <f>IF(J26="","",IF(M26="Annulée",0,J26-N26))</f>
        <v/>
      </c>
      <c r="P26" s="33">
        <f>IF(J26="","",IF(M26="Annulée","-",IF(O26&lt;=0,"Oui","Non")))</f>
        <v/>
      </c>
      <c r="Q26" s="27" t="inlineStr"/>
      <c r="R26" s="33">
        <f>IF(OR(J26="",G26=""),"",IF(AND(M26&lt;&gt;"Annulée",O26&gt;0,G26&lt;TODAY()),"⚠️ Retard",""))</f>
        <v/>
      </c>
      <c r="S26" s="33">
        <f>IF(F26="","",TEXT(F26,"yyyy-mm"))</f>
        <v/>
      </c>
      <c r="T26" s="28" t="inlineStr"/>
    </row>
    <row r="27">
      <c r="A27" s="26">
        <f>IF(D27="","",ROW()-4)</f>
        <v/>
      </c>
      <c r="B27" s="27" t="inlineStr"/>
      <c r="C27" s="27" t="inlineStr"/>
      <c r="D27" s="28" t="inlineStr"/>
      <c r="E27" s="28" t="inlineStr"/>
      <c r="F27" s="29" t="n"/>
      <c r="G27" s="29" t="n"/>
      <c r="H27" s="26">
        <f>IF(AND(G27&lt;&gt;"",F27&lt;&gt;""),G27-F27,"")</f>
        <v/>
      </c>
      <c r="I27" s="30" t="n"/>
      <c r="J27" s="31" t="n"/>
      <c r="K27" s="32" t="n"/>
      <c r="L27" s="22">
        <f>IF(J27="","",J27*(1-K27))</f>
        <v/>
      </c>
      <c r="M27" s="27" t="inlineStr"/>
      <c r="N27" s="31" t="n"/>
      <c r="O27" s="22">
        <f>IF(J27="","",IF(M27="Annulée",0,J27-N27))</f>
        <v/>
      </c>
      <c r="P27" s="33">
        <f>IF(J27="","",IF(M27="Annulée","-",IF(O27&lt;=0,"Oui","Non")))</f>
        <v/>
      </c>
      <c r="Q27" s="27" t="inlineStr"/>
      <c r="R27" s="33">
        <f>IF(OR(J27="",G27=""),"",IF(AND(M27&lt;&gt;"Annulée",O27&gt;0,G27&lt;TODAY()),"⚠️ Retard",""))</f>
        <v/>
      </c>
      <c r="S27" s="33">
        <f>IF(F27="","",TEXT(F27,"yyyy-mm"))</f>
        <v/>
      </c>
      <c r="T27" s="28" t="inlineStr"/>
    </row>
    <row r="28">
      <c r="A28" s="26">
        <f>IF(D28="","",ROW()-4)</f>
        <v/>
      </c>
      <c r="B28" s="27" t="inlineStr"/>
      <c r="C28" s="27" t="inlineStr"/>
      <c r="D28" s="28" t="inlineStr"/>
      <c r="E28" s="28" t="inlineStr"/>
      <c r="F28" s="29" t="n"/>
      <c r="G28" s="29" t="n"/>
      <c r="H28" s="26">
        <f>IF(AND(G28&lt;&gt;"",F28&lt;&gt;""),G28-F28,"")</f>
        <v/>
      </c>
      <c r="I28" s="30" t="n"/>
      <c r="J28" s="31" t="n"/>
      <c r="K28" s="32" t="n"/>
      <c r="L28" s="22">
        <f>IF(J28="","",J28*(1-K28))</f>
        <v/>
      </c>
      <c r="M28" s="27" t="inlineStr"/>
      <c r="N28" s="31" t="n"/>
      <c r="O28" s="22">
        <f>IF(J28="","",IF(M28="Annulée",0,J28-N28))</f>
        <v/>
      </c>
      <c r="P28" s="33">
        <f>IF(J28="","",IF(M28="Annulée","-",IF(O28&lt;=0,"Oui","Non")))</f>
        <v/>
      </c>
      <c r="Q28" s="27" t="inlineStr"/>
      <c r="R28" s="33">
        <f>IF(OR(J28="",G28=""),"",IF(AND(M28&lt;&gt;"Annulée",O28&gt;0,G28&lt;TODAY()),"⚠️ Retard",""))</f>
        <v/>
      </c>
      <c r="S28" s="33">
        <f>IF(F28="","",TEXT(F28,"yyyy-mm"))</f>
        <v/>
      </c>
      <c r="T28" s="28" t="inlineStr"/>
    </row>
    <row r="29">
      <c r="A29" s="26">
        <f>IF(D29="","",ROW()-4)</f>
        <v/>
      </c>
      <c r="B29" s="27" t="inlineStr"/>
      <c r="C29" s="27" t="inlineStr"/>
      <c r="D29" s="28" t="inlineStr"/>
      <c r="E29" s="28" t="inlineStr"/>
      <c r="F29" s="29" t="n"/>
      <c r="G29" s="29" t="n"/>
      <c r="H29" s="26">
        <f>IF(AND(G29&lt;&gt;"",F29&lt;&gt;""),G29-F29,"")</f>
        <v/>
      </c>
      <c r="I29" s="30" t="n"/>
      <c r="J29" s="31" t="n"/>
      <c r="K29" s="32" t="n"/>
      <c r="L29" s="22">
        <f>IF(J29="","",J29*(1-K29))</f>
        <v/>
      </c>
      <c r="M29" s="27" t="inlineStr"/>
      <c r="N29" s="31" t="n"/>
      <c r="O29" s="22">
        <f>IF(J29="","",IF(M29="Annulée",0,J29-N29))</f>
        <v/>
      </c>
      <c r="P29" s="33">
        <f>IF(J29="","",IF(M29="Annulée","-",IF(O29&lt;=0,"Oui","Non")))</f>
        <v/>
      </c>
      <c r="Q29" s="27" t="inlineStr"/>
      <c r="R29" s="33">
        <f>IF(OR(J29="",G29=""),"",IF(AND(M29&lt;&gt;"Annulée",O29&gt;0,G29&lt;TODAY()),"⚠️ Retard",""))</f>
        <v/>
      </c>
      <c r="S29" s="33">
        <f>IF(F29="","",TEXT(F29,"yyyy-mm"))</f>
        <v/>
      </c>
      <c r="T29" s="28" t="inlineStr"/>
    </row>
    <row r="30">
      <c r="A30" s="26">
        <f>IF(D30="","",ROW()-4)</f>
        <v/>
      </c>
      <c r="B30" s="27" t="inlineStr"/>
      <c r="C30" s="27" t="inlineStr"/>
      <c r="D30" s="28" t="inlineStr"/>
      <c r="E30" s="28" t="inlineStr"/>
      <c r="F30" s="29" t="n"/>
      <c r="G30" s="29" t="n"/>
      <c r="H30" s="26">
        <f>IF(AND(G30&lt;&gt;"",F30&lt;&gt;""),G30-F30,"")</f>
        <v/>
      </c>
      <c r="I30" s="30" t="n"/>
      <c r="J30" s="31" t="n"/>
      <c r="K30" s="32" t="n"/>
      <c r="L30" s="22">
        <f>IF(J30="","",J30*(1-K30))</f>
        <v/>
      </c>
      <c r="M30" s="27" t="inlineStr"/>
      <c r="N30" s="31" t="n"/>
      <c r="O30" s="22">
        <f>IF(J30="","",IF(M30="Annulée",0,J30-N30))</f>
        <v/>
      </c>
      <c r="P30" s="33">
        <f>IF(J30="","",IF(M30="Annulée","-",IF(O30&lt;=0,"Oui","Non")))</f>
        <v/>
      </c>
      <c r="Q30" s="27" t="inlineStr"/>
      <c r="R30" s="33">
        <f>IF(OR(J30="",G30=""),"",IF(AND(M30&lt;&gt;"Annulée",O30&gt;0,G30&lt;TODAY()),"⚠️ Retard",""))</f>
        <v/>
      </c>
      <c r="S30" s="33">
        <f>IF(F30="","",TEXT(F30,"yyyy-mm"))</f>
        <v/>
      </c>
      <c r="T30" s="28" t="inlineStr"/>
    </row>
    <row r="31">
      <c r="A31" s="26">
        <f>IF(D31="","",ROW()-4)</f>
        <v/>
      </c>
      <c r="B31" s="27" t="inlineStr"/>
      <c r="C31" s="27" t="inlineStr"/>
      <c r="D31" s="28" t="inlineStr"/>
      <c r="E31" s="28" t="inlineStr"/>
      <c r="F31" s="29" t="n"/>
      <c r="G31" s="29" t="n"/>
      <c r="H31" s="26">
        <f>IF(AND(G31&lt;&gt;"",F31&lt;&gt;""),G31-F31,"")</f>
        <v/>
      </c>
      <c r="I31" s="30" t="n"/>
      <c r="J31" s="31" t="n"/>
      <c r="K31" s="32" t="n"/>
      <c r="L31" s="22">
        <f>IF(J31="","",J31*(1-K31))</f>
        <v/>
      </c>
      <c r="M31" s="27" t="inlineStr"/>
      <c r="N31" s="31" t="n"/>
      <c r="O31" s="22">
        <f>IF(J31="","",IF(M31="Annulée",0,J31-N31))</f>
        <v/>
      </c>
      <c r="P31" s="33">
        <f>IF(J31="","",IF(M31="Annulée","-",IF(O31&lt;=0,"Oui","Non")))</f>
        <v/>
      </c>
      <c r="Q31" s="27" t="inlineStr"/>
      <c r="R31" s="33">
        <f>IF(OR(J31="",G31=""),"",IF(AND(M31&lt;&gt;"Annulée",O31&gt;0,G31&lt;TODAY()),"⚠️ Retard",""))</f>
        <v/>
      </c>
      <c r="S31" s="33">
        <f>IF(F31="","",TEXT(F31,"yyyy-mm"))</f>
        <v/>
      </c>
      <c r="T31" s="28" t="inlineStr"/>
    </row>
    <row r="32">
      <c r="A32" s="26">
        <f>IF(D32="","",ROW()-4)</f>
        <v/>
      </c>
      <c r="B32" s="27" t="inlineStr"/>
      <c r="C32" s="27" t="inlineStr"/>
      <c r="D32" s="28" t="inlineStr"/>
      <c r="E32" s="28" t="inlineStr"/>
      <c r="F32" s="29" t="n"/>
      <c r="G32" s="29" t="n"/>
      <c r="H32" s="26">
        <f>IF(AND(G32&lt;&gt;"",F32&lt;&gt;""),G32-F32,"")</f>
        <v/>
      </c>
      <c r="I32" s="30" t="n"/>
      <c r="J32" s="31" t="n"/>
      <c r="K32" s="32" t="n"/>
      <c r="L32" s="22">
        <f>IF(J32="","",J32*(1-K32))</f>
        <v/>
      </c>
      <c r="M32" s="27" t="inlineStr"/>
      <c r="N32" s="31" t="n"/>
      <c r="O32" s="22">
        <f>IF(J32="","",IF(M32="Annulée",0,J32-N32))</f>
        <v/>
      </c>
      <c r="P32" s="33">
        <f>IF(J32="","",IF(M32="Annulée","-",IF(O32&lt;=0,"Oui","Non")))</f>
        <v/>
      </c>
      <c r="Q32" s="27" t="inlineStr"/>
      <c r="R32" s="33">
        <f>IF(OR(J32="",G32=""),"",IF(AND(M32&lt;&gt;"Annulée",O32&gt;0,G32&lt;TODAY()),"⚠️ Retard",""))</f>
        <v/>
      </c>
      <c r="S32" s="33">
        <f>IF(F32="","",TEXT(F32,"yyyy-mm"))</f>
        <v/>
      </c>
      <c r="T32" s="28" t="inlineStr"/>
    </row>
    <row r="33">
      <c r="A33" s="26">
        <f>IF(D33="","",ROW()-4)</f>
        <v/>
      </c>
      <c r="B33" s="27" t="inlineStr"/>
      <c r="C33" s="27" t="inlineStr"/>
      <c r="D33" s="28" t="inlineStr"/>
      <c r="E33" s="28" t="inlineStr"/>
      <c r="F33" s="29" t="n"/>
      <c r="G33" s="29" t="n"/>
      <c r="H33" s="26">
        <f>IF(AND(G33&lt;&gt;"",F33&lt;&gt;""),G33-F33,"")</f>
        <v/>
      </c>
      <c r="I33" s="30" t="n"/>
      <c r="J33" s="31" t="n"/>
      <c r="K33" s="32" t="n"/>
      <c r="L33" s="22">
        <f>IF(J33="","",J33*(1-K33))</f>
        <v/>
      </c>
      <c r="M33" s="27" t="inlineStr"/>
      <c r="N33" s="31" t="n"/>
      <c r="O33" s="22">
        <f>IF(J33="","",IF(M33="Annulée",0,J33-N33))</f>
        <v/>
      </c>
      <c r="P33" s="33">
        <f>IF(J33="","",IF(M33="Annulée","-",IF(O33&lt;=0,"Oui","Non")))</f>
        <v/>
      </c>
      <c r="Q33" s="27" t="inlineStr"/>
      <c r="R33" s="33">
        <f>IF(OR(J33="",G33=""),"",IF(AND(M33&lt;&gt;"Annulée",O33&gt;0,G33&lt;TODAY()),"⚠️ Retard",""))</f>
        <v/>
      </c>
      <c r="S33" s="33">
        <f>IF(F33="","",TEXT(F33,"yyyy-mm"))</f>
        <v/>
      </c>
      <c r="T33" s="28" t="inlineStr"/>
    </row>
    <row r="34">
      <c r="A34" s="26">
        <f>IF(D34="","",ROW()-4)</f>
        <v/>
      </c>
      <c r="B34" s="27" t="inlineStr"/>
      <c r="C34" s="27" t="inlineStr"/>
      <c r="D34" s="28" t="inlineStr"/>
      <c r="E34" s="28" t="inlineStr"/>
      <c r="F34" s="29" t="n"/>
      <c r="G34" s="29" t="n"/>
      <c r="H34" s="26">
        <f>IF(AND(G34&lt;&gt;"",F34&lt;&gt;""),G34-F34,"")</f>
        <v/>
      </c>
      <c r="I34" s="30" t="n"/>
      <c r="J34" s="31" t="n"/>
      <c r="K34" s="32" t="n"/>
      <c r="L34" s="22">
        <f>IF(J34="","",J34*(1-K34))</f>
        <v/>
      </c>
      <c r="M34" s="27" t="inlineStr"/>
      <c r="N34" s="31" t="n"/>
      <c r="O34" s="22">
        <f>IF(J34="","",IF(M34="Annulée",0,J34-N34))</f>
        <v/>
      </c>
      <c r="P34" s="33">
        <f>IF(J34="","",IF(M34="Annulée","-",IF(O34&lt;=0,"Oui","Non")))</f>
        <v/>
      </c>
      <c r="Q34" s="27" t="inlineStr"/>
      <c r="R34" s="33">
        <f>IF(OR(J34="",G34=""),"",IF(AND(M34&lt;&gt;"Annulée",O34&gt;0,G34&lt;TODAY()),"⚠️ Retard",""))</f>
        <v/>
      </c>
      <c r="S34" s="33">
        <f>IF(F34="","",TEXT(F34,"yyyy-mm"))</f>
        <v/>
      </c>
      <c r="T34" s="28" t="inlineStr"/>
    </row>
    <row r="35">
      <c r="A35" s="26">
        <f>IF(D35="","",ROW()-4)</f>
        <v/>
      </c>
      <c r="B35" s="27" t="inlineStr"/>
      <c r="C35" s="27" t="inlineStr"/>
      <c r="D35" s="28" t="inlineStr"/>
      <c r="E35" s="28" t="inlineStr"/>
      <c r="F35" s="29" t="n"/>
      <c r="G35" s="29" t="n"/>
      <c r="H35" s="26">
        <f>IF(AND(G35&lt;&gt;"",F35&lt;&gt;""),G35-F35,"")</f>
        <v/>
      </c>
      <c r="I35" s="30" t="n"/>
      <c r="J35" s="31" t="n"/>
      <c r="K35" s="32" t="n"/>
      <c r="L35" s="22">
        <f>IF(J35="","",J35*(1-K35))</f>
        <v/>
      </c>
      <c r="M35" s="27" t="inlineStr"/>
      <c r="N35" s="31" t="n"/>
      <c r="O35" s="22">
        <f>IF(J35="","",IF(M35="Annulée",0,J35-N35))</f>
        <v/>
      </c>
      <c r="P35" s="33">
        <f>IF(J35="","",IF(M35="Annulée","-",IF(O35&lt;=0,"Oui","Non")))</f>
        <v/>
      </c>
      <c r="Q35" s="27" t="inlineStr"/>
      <c r="R35" s="33">
        <f>IF(OR(J35="",G35=""),"",IF(AND(M35&lt;&gt;"Annulée",O35&gt;0,G35&lt;TODAY()),"⚠️ Retard",""))</f>
        <v/>
      </c>
      <c r="S35" s="33">
        <f>IF(F35="","",TEXT(F35,"yyyy-mm"))</f>
        <v/>
      </c>
      <c r="T35" s="28" t="inlineStr"/>
    </row>
    <row r="36">
      <c r="A36" s="26">
        <f>IF(D36="","",ROW()-4)</f>
        <v/>
      </c>
      <c r="B36" s="27" t="inlineStr"/>
      <c r="C36" s="27" t="inlineStr"/>
      <c r="D36" s="28" t="inlineStr"/>
      <c r="E36" s="28" t="inlineStr"/>
      <c r="F36" s="29" t="n"/>
      <c r="G36" s="29" t="n"/>
      <c r="H36" s="26">
        <f>IF(AND(G36&lt;&gt;"",F36&lt;&gt;""),G36-F36,"")</f>
        <v/>
      </c>
      <c r="I36" s="30" t="n"/>
      <c r="J36" s="31" t="n"/>
      <c r="K36" s="32" t="n"/>
      <c r="L36" s="22">
        <f>IF(J36="","",J36*(1-K36))</f>
        <v/>
      </c>
      <c r="M36" s="27" t="inlineStr"/>
      <c r="N36" s="31" t="n"/>
      <c r="O36" s="22">
        <f>IF(J36="","",IF(M36="Annulée",0,J36-N36))</f>
        <v/>
      </c>
      <c r="P36" s="33">
        <f>IF(J36="","",IF(M36="Annulée","-",IF(O36&lt;=0,"Oui","Non")))</f>
        <v/>
      </c>
      <c r="Q36" s="27" t="inlineStr"/>
      <c r="R36" s="33">
        <f>IF(OR(J36="",G36=""),"",IF(AND(M36&lt;&gt;"Annulée",O36&gt;0,G36&lt;TODAY()),"⚠️ Retard",""))</f>
        <v/>
      </c>
      <c r="S36" s="33">
        <f>IF(F36="","",TEXT(F36,"yyyy-mm"))</f>
        <v/>
      </c>
      <c r="T36" s="28" t="inlineStr"/>
    </row>
    <row r="37">
      <c r="A37" s="26">
        <f>IF(D37="","",ROW()-4)</f>
        <v/>
      </c>
      <c r="B37" s="27" t="inlineStr"/>
      <c r="C37" s="27" t="inlineStr"/>
      <c r="D37" s="28" t="inlineStr"/>
      <c r="E37" s="28" t="inlineStr"/>
      <c r="F37" s="29" t="n"/>
      <c r="G37" s="29" t="n"/>
      <c r="H37" s="26">
        <f>IF(AND(G37&lt;&gt;"",F37&lt;&gt;""),G37-F37,"")</f>
        <v/>
      </c>
      <c r="I37" s="30" t="n"/>
      <c r="J37" s="31" t="n"/>
      <c r="K37" s="32" t="n"/>
      <c r="L37" s="22">
        <f>IF(J37="","",J37*(1-K37))</f>
        <v/>
      </c>
      <c r="M37" s="27" t="inlineStr"/>
      <c r="N37" s="31" t="n"/>
      <c r="O37" s="22">
        <f>IF(J37="","",IF(M37="Annulée",0,J37-N37))</f>
        <v/>
      </c>
      <c r="P37" s="33">
        <f>IF(J37="","",IF(M37="Annulée","-",IF(O37&lt;=0,"Oui","Non")))</f>
        <v/>
      </c>
      <c r="Q37" s="27" t="inlineStr"/>
      <c r="R37" s="33">
        <f>IF(OR(J37="",G37=""),"",IF(AND(M37&lt;&gt;"Annulée",O37&gt;0,G37&lt;TODAY()),"⚠️ Retard",""))</f>
        <v/>
      </c>
      <c r="S37" s="33">
        <f>IF(F37="","",TEXT(F37,"yyyy-mm"))</f>
        <v/>
      </c>
      <c r="T37" s="28" t="inlineStr"/>
    </row>
    <row r="38">
      <c r="A38" s="26">
        <f>IF(D38="","",ROW()-4)</f>
        <v/>
      </c>
      <c r="B38" s="27" t="inlineStr"/>
      <c r="C38" s="27" t="inlineStr"/>
      <c r="D38" s="28" t="inlineStr"/>
      <c r="E38" s="28" t="inlineStr"/>
      <c r="F38" s="29" t="n"/>
      <c r="G38" s="29" t="n"/>
      <c r="H38" s="26">
        <f>IF(AND(G38&lt;&gt;"",F38&lt;&gt;""),G38-F38,"")</f>
        <v/>
      </c>
      <c r="I38" s="30" t="n"/>
      <c r="J38" s="31" t="n"/>
      <c r="K38" s="32" t="n"/>
      <c r="L38" s="22">
        <f>IF(J38="","",J38*(1-K38))</f>
        <v/>
      </c>
      <c r="M38" s="27" t="inlineStr"/>
      <c r="N38" s="31" t="n"/>
      <c r="O38" s="22">
        <f>IF(J38="","",IF(M38="Annulée",0,J38-N38))</f>
        <v/>
      </c>
      <c r="P38" s="33">
        <f>IF(J38="","",IF(M38="Annulée","-",IF(O38&lt;=0,"Oui","Non")))</f>
        <v/>
      </c>
      <c r="Q38" s="27" t="inlineStr"/>
      <c r="R38" s="33">
        <f>IF(OR(J38="",G38=""),"",IF(AND(M38&lt;&gt;"Annulée",O38&gt;0,G38&lt;TODAY()),"⚠️ Retard",""))</f>
        <v/>
      </c>
      <c r="S38" s="33">
        <f>IF(F38="","",TEXT(F38,"yyyy-mm"))</f>
        <v/>
      </c>
      <c r="T38" s="28" t="inlineStr"/>
    </row>
    <row r="39">
      <c r="A39" s="26">
        <f>IF(D39="","",ROW()-4)</f>
        <v/>
      </c>
      <c r="B39" s="27" t="inlineStr"/>
      <c r="C39" s="27" t="inlineStr"/>
      <c r="D39" s="28" t="inlineStr"/>
      <c r="E39" s="28" t="inlineStr"/>
      <c r="F39" s="29" t="n"/>
      <c r="G39" s="29" t="n"/>
      <c r="H39" s="26">
        <f>IF(AND(G39&lt;&gt;"",F39&lt;&gt;""),G39-F39,"")</f>
        <v/>
      </c>
      <c r="I39" s="30" t="n"/>
      <c r="J39" s="31" t="n"/>
      <c r="K39" s="32" t="n"/>
      <c r="L39" s="22">
        <f>IF(J39="","",J39*(1-K39))</f>
        <v/>
      </c>
      <c r="M39" s="27" t="inlineStr"/>
      <c r="N39" s="31" t="n"/>
      <c r="O39" s="22">
        <f>IF(J39="","",IF(M39="Annulée",0,J39-N39))</f>
        <v/>
      </c>
      <c r="P39" s="33">
        <f>IF(J39="","",IF(M39="Annulée","-",IF(O39&lt;=0,"Oui","Non")))</f>
        <v/>
      </c>
      <c r="Q39" s="27" t="inlineStr"/>
      <c r="R39" s="33">
        <f>IF(OR(J39="",G39=""),"",IF(AND(M39&lt;&gt;"Annulée",O39&gt;0,G39&lt;TODAY()),"⚠️ Retard",""))</f>
        <v/>
      </c>
      <c r="S39" s="33">
        <f>IF(F39="","",TEXT(F39,"yyyy-mm"))</f>
        <v/>
      </c>
      <c r="T39" s="28" t="inlineStr"/>
    </row>
    <row r="40">
      <c r="A40" s="26">
        <f>IF(D40="","",ROW()-4)</f>
        <v/>
      </c>
      <c r="B40" s="27" t="inlineStr"/>
      <c r="C40" s="27" t="inlineStr"/>
      <c r="D40" s="28" t="inlineStr"/>
      <c r="E40" s="28" t="inlineStr"/>
      <c r="F40" s="29" t="n"/>
      <c r="G40" s="29" t="n"/>
      <c r="H40" s="26">
        <f>IF(AND(G40&lt;&gt;"",F40&lt;&gt;""),G40-F40,"")</f>
        <v/>
      </c>
      <c r="I40" s="30" t="n"/>
      <c r="J40" s="31" t="n"/>
      <c r="K40" s="32" t="n"/>
      <c r="L40" s="22">
        <f>IF(J40="","",J40*(1-K40))</f>
        <v/>
      </c>
      <c r="M40" s="27" t="inlineStr"/>
      <c r="N40" s="31" t="n"/>
      <c r="O40" s="22">
        <f>IF(J40="","",IF(M40="Annulée",0,J40-N40))</f>
        <v/>
      </c>
      <c r="P40" s="33">
        <f>IF(J40="","",IF(M40="Annulée","-",IF(O40&lt;=0,"Oui","Non")))</f>
        <v/>
      </c>
      <c r="Q40" s="27" t="inlineStr"/>
      <c r="R40" s="33">
        <f>IF(OR(J40="",G40=""),"",IF(AND(M40&lt;&gt;"Annulée",O40&gt;0,G40&lt;TODAY()),"⚠️ Retard",""))</f>
        <v/>
      </c>
      <c r="S40" s="33">
        <f>IF(F40="","",TEXT(F40,"yyyy-mm"))</f>
        <v/>
      </c>
      <c r="T40" s="28" t="inlineStr"/>
    </row>
    <row r="41">
      <c r="A41" s="26">
        <f>IF(D41="","",ROW()-4)</f>
        <v/>
      </c>
      <c r="B41" s="27" t="inlineStr"/>
      <c r="C41" s="27" t="inlineStr"/>
      <c r="D41" s="28" t="inlineStr"/>
      <c r="E41" s="28" t="inlineStr"/>
      <c r="F41" s="29" t="n"/>
      <c r="G41" s="29" t="n"/>
      <c r="H41" s="26">
        <f>IF(AND(G41&lt;&gt;"",F41&lt;&gt;""),G41-F41,"")</f>
        <v/>
      </c>
      <c r="I41" s="30" t="n"/>
      <c r="J41" s="31" t="n"/>
      <c r="K41" s="32" t="n"/>
      <c r="L41" s="22">
        <f>IF(J41="","",J41*(1-K41))</f>
        <v/>
      </c>
      <c r="M41" s="27" t="inlineStr"/>
      <c r="N41" s="31" t="n"/>
      <c r="O41" s="22">
        <f>IF(J41="","",IF(M41="Annulée",0,J41-N41))</f>
        <v/>
      </c>
      <c r="P41" s="33">
        <f>IF(J41="","",IF(M41="Annulée","-",IF(O41&lt;=0,"Oui","Non")))</f>
        <v/>
      </c>
      <c r="Q41" s="27" t="inlineStr"/>
      <c r="R41" s="33">
        <f>IF(OR(J41="",G41=""),"",IF(AND(M41&lt;&gt;"Annulée",O41&gt;0,G41&lt;TODAY()),"⚠️ Retard",""))</f>
        <v/>
      </c>
      <c r="S41" s="33">
        <f>IF(F41="","",TEXT(F41,"yyyy-mm"))</f>
        <v/>
      </c>
      <c r="T41" s="28" t="inlineStr"/>
    </row>
    <row r="42">
      <c r="A42" s="26">
        <f>IF(D42="","",ROW()-4)</f>
        <v/>
      </c>
      <c r="B42" s="27" t="inlineStr"/>
      <c r="C42" s="27" t="inlineStr"/>
      <c r="D42" s="28" t="inlineStr"/>
      <c r="E42" s="28" t="inlineStr"/>
      <c r="F42" s="29" t="n"/>
      <c r="G42" s="29" t="n"/>
      <c r="H42" s="26">
        <f>IF(AND(G42&lt;&gt;"",F42&lt;&gt;""),G42-F42,"")</f>
        <v/>
      </c>
      <c r="I42" s="30" t="n"/>
      <c r="J42" s="31" t="n"/>
      <c r="K42" s="32" t="n"/>
      <c r="L42" s="22">
        <f>IF(J42="","",J42*(1-K42))</f>
        <v/>
      </c>
      <c r="M42" s="27" t="inlineStr"/>
      <c r="N42" s="31" t="n"/>
      <c r="O42" s="22">
        <f>IF(J42="","",IF(M42="Annulée",0,J42-N42))</f>
        <v/>
      </c>
      <c r="P42" s="33">
        <f>IF(J42="","",IF(M42="Annulée","-",IF(O42&lt;=0,"Oui","Non")))</f>
        <v/>
      </c>
      <c r="Q42" s="27" t="inlineStr"/>
      <c r="R42" s="33">
        <f>IF(OR(J42="",G42=""),"",IF(AND(M42&lt;&gt;"Annulée",O42&gt;0,G42&lt;TODAY()),"⚠️ Retard",""))</f>
        <v/>
      </c>
      <c r="S42" s="33">
        <f>IF(F42="","",TEXT(F42,"yyyy-mm"))</f>
        <v/>
      </c>
      <c r="T42" s="28" t="inlineStr"/>
    </row>
    <row r="43">
      <c r="A43" s="26">
        <f>IF(D43="","",ROW()-4)</f>
        <v/>
      </c>
      <c r="B43" s="27" t="inlineStr"/>
      <c r="C43" s="27" t="inlineStr"/>
      <c r="D43" s="28" t="inlineStr"/>
      <c r="E43" s="28" t="inlineStr"/>
      <c r="F43" s="29" t="n"/>
      <c r="G43" s="29" t="n"/>
      <c r="H43" s="26">
        <f>IF(AND(G43&lt;&gt;"",F43&lt;&gt;""),G43-F43,"")</f>
        <v/>
      </c>
      <c r="I43" s="30" t="n"/>
      <c r="J43" s="31" t="n"/>
      <c r="K43" s="32" t="n"/>
      <c r="L43" s="22">
        <f>IF(J43="","",J43*(1-K43))</f>
        <v/>
      </c>
      <c r="M43" s="27" t="inlineStr"/>
      <c r="N43" s="31" t="n"/>
      <c r="O43" s="22">
        <f>IF(J43="","",IF(M43="Annulée",0,J43-N43))</f>
        <v/>
      </c>
      <c r="P43" s="33">
        <f>IF(J43="","",IF(M43="Annulée","-",IF(O43&lt;=0,"Oui","Non")))</f>
        <v/>
      </c>
      <c r="Q43" s="27" t="inlineStr"/>
      <c r="R43" s="33">
        <f>IF(OR(J43="",G43=""),"",IF(AND(M43&lt;&gt;"Annulée",O43&gt;0,G43&lt;TODAY()),"⚠️ Retard",""))</f>
        <v/>
      </c>
      <c r="S43" s="33">
        <f>IF(F43="","",TEXT(F43,"yyyy-mm"))</f>
        <v/>
      </c>
      <c r="T43" s="28" t="inlineStr"/>
    </row>
    <row r="44">
      <c r="A44" s="26">
        <f>IF(D44="","",ROW()-4)</f>
        <v/>
      </c>
      <c r="B44" s="27" t="inlineStr"/>
      <c r="C44" s="27" t="inlineStr"/>
      <c r="D44" s="28" t="inlineStr"/>
      <c r="E44" s="28" t="inlineStr"/>
      <c r="F44" s="29" t="n"/>
      <c r="G44" s="29" t="n"/>
      <c r="H44" s="26">
        <f>IF(AND(G44&lt;&gt;"",F44&lt;&gt;""),G44-F44,"")</f>
        <v/>
      </c>
      <c r="I44" s="30" t="n"/>
      <c r="J44" s="31" t="n"/>
      <c r="K44" s="32" t="n"/>
      <c r="L44" s="22">
        <f>IF(J44="","",J44*(1-K44))</f>
        <v/>
      </c>
      <c r="M44" s="27" t="inlineStr"/>
      <c r="N44" s="31" t="n"/>
      <c r="O44" s="22">
        <f>IF(J44="","",IF(M44="Annulée",0,J44-N44))</f>
        <v/>
      </c>
      <c r="P44" s="33">
        <f>IF(J44="","",IF(M44="Annulée","-",IF(O44&lt;=0,"Oui","Non")))</f>
        <v/>
      </c>
      <c r="Q44" s="27" t="inlineStr"/>
      <c r="R44" s="33">
        <f>IF(OR(J44="",G44=""),"",IF(AND(M44&lt;&gt;"Annulée",O44&gt;0,G44&lt;TODAY()),"⚠️ Retard",""))</f>
        <v/>
      </c>
      <c r="S44" s="33">
        <f>IF(F44="","",TEXT(F44,"yyyy-mm"))</f>
        <v/>
      </c>
      <c r="T44" s="28" t="inlineStr"/>
    </row>
    <row r="45">
      <c r="A45" s="26">
        <f>IF(D45="","",ROW()-4)</f>
        <v/>
      </c>
      <c r="B45" s="27" t="inlineStr"/>
      <c r="C45" s="27" t="inlineStr"/>
      <c r="D45" s="28" t="inlineStr"/>
      <c r="E45" s="28" t="inlineStr"/>
      <c r="F45" s="29" t="n"/>
      <c r="G45" s="29" t="n"/>
      <c r="H45" s="26">
        <f>IF(AND(G45&lt;&gt;"",F45&lt;&gt;""),G45-F45,"")</f>
        <v/>
      </c>
      <c r="I45" s="30" t="n"/>
      <c r="J45" s="31" t="n"/>
      <c r="K45" s="32" t="n"/>
      <c r="L45" s="22">
        <f>IF(J45="","",J45*(1-K45))</f>
        <v/>
      </c>
      <c r="M45" s="27" t="inlineStr"/>
      <c r="N45" s="31" t="n"/>
      <c r="O45" s="22">
        <f>IF(J45="","",IF(M45="Annulée",0,J45-N45))</f>
        <v/>
      </c>
      <c r="P45" s="33">
        <f>IF(J45="","",IF(M45="Annulée","-",IF(O45&lt;=0,"Oui","Non")))</f>
        <v/>
      </c>
      <c r="Q45" s="27" t="inlineStr"/>
      <c r="R45" s="33">
        <f>IF(OR(J45="",G45=""),"",IF(AND(M45&lt;&gt;"Annulée",O45&gt;0,G45&lt;TODAY()),"⚠️ Retard",""))</f>
        <v/>
      </c>
      <c r="S45" s="33">
        <f>IF(F45="","",TEXT(F45,"yyyy-mm"))</f>
        <v/>
      </c>
      <c r="T45" s="28" t="inlineStr"/>
    </row>
    <row r="46">
      <c r="A46" s="26">
        <f>IF(D46="","",ROW()-4)</f>
        <v/>
      </c>
      <c r="B46" s="27" t="inlineStr"/>
      <c r="C46" s="27" t="inlineStr"/>
      <c r="D46" s="28" t="inlineStr"/>
      <c r="E46" s="28" t="inlineStr"/>
      <c r="F46" s="29" t="n"/>
      <c r="G46" s="29" t="n"/>
      <c r="H46" s="26">
        <f>IF(AND(G46&lt;&gt;"",F46&lt;&gt;""),G46-F46,"")</f>
        <v/>
      </c>
      <c r="I46" s="30" t="n"/>
      <c r="J46" s="31" t="n"/>
      <c r="K46" s="32" t="n"/>
      <c r="L46" s="22">
        <f>IF(J46="","",J46*(1-K46))</f>
        <v/>
      </c>
      <c r="M46" s="27" t="inlineStr"/>
      <c r="N46" s="31" t="n"/>
      <c r="O46" s="22">
        <f>IF(J46="","",IF(M46="Annulée",0,J46-N46))</f>
        <v/>
      </c>
      <c r="P46" s="33">
        <f>IF(J46="","",IF(M46="Annulée","-",IF(O46&lt;=0,"Oui","Non")))</f>
        <v/>
      </c>
      <c r="Q46" s="27" t="inlineStr"/>
      <c r="R46" s="33">
        <f>IF(OR(J46="",G46=""),"",IF(AND(M46&lt;&gt;"Annulée",O46&gt;0,G46&lt;TODAY()),"⚠️ Retard",""))</f>
        <v/>
      </c>
      <c r="S46" s="33">
        <f>IF(F46="","",TEXT(F46,"yyyy-mm"))</f>
        <v/>
      </c>
      <c r="T46" s="28" t="inlineStr"/>
    </row>
    <row r="47">
      <c r="A47" s="26">
        <f>IF(D47="","",ROW()-4)</f>
        <v/>
      </c>
      <c r="B47" s="27" t="inlineStr"/>
      <c r="C47" s="27" t="inlineStr"/>
      <c r="D47" s="28" t="inlineStr"/>
      <c r="E47" s="28" t="inlineStr"/>
      <c r="F47" s="29" t="n"/>
      <c r="G47" s="29" t="n"/>
      <c r="H47" s="26">
        <f>IF(AND(G47&lt;&gt;"",F47&lt;&gt;""),G47-F47,"")</f>
        <v/>
      </c>
      <c r="I47" s="30" t="n"/>
      <c r="J47" s="31" t="n"/>
      <c r="K47" s="32" t="n"/>
      <c r="L47" s="22">
        <f>IF(J47="","",J47*(1-K47))</f>
        <v/>
      </c>
      <c r="M47" s="27" t="inlineStr"/>
      <c r="N47" s="31" t="n"/>
      <c r="O47" s="22">
        <f>IF(J47="","",IF(M47="Annulée",0,J47-N47))</f>
        <v/>
      </c>
      <c r="P47" s="33">
        <f>IF(J47="","",IF(M47="Annulée","-",IF(O47&lt;=0,"Oui","Non")))</f>
        <v/>
      </c>
      <c r="Q47" s="27" t="inlineStr"/>
      <c r="R47" s="33">
        <f>IF(OR(J47="",G47=""),"",IF(AND(M47&lt;&gt;"Annulée",O47&gt;0,G47&lt;TODAY()),"⚠️ Retard",""))</f>
        <v/>
      </c>
      <c r="S47" s="33">
        <f>IF(F47="","",TEXT(F47,"yyyy-mm"))</f>
        <v/>
      </c>
      <c r="T47" s="28" t="inlineStr"/>
    </row>
    <row r="48">
      <c r="A48" s="26">
        <f>IF(D48="","",ROW()-4)</f>
        <v/>
      </c>
      <c r="B48" s="27" t="inlineStr"/>
      <c r="C48" s="27" t="inlineStr"/>
      <c r="D48" s="28" t="inlineStr"/>
      <c r="E48" s="28" t="inlineStr"/>
      <c r="F48" s="29" t="n"/>
      <c r="G48" s="29" t="n"/>
      <c r="H48" s="26">
        <f>IF(AND(G48&lt;&gt;"",F48&lt;&gt;""),G48-F48,"")</f>
        <v/>
      </c>
      <c r="I48" s="30" t="n"/>
      <c r="J48" s="31" t="n"/>
      <c r="K48" s="32" t="n"/>
      <c r="L48" s="22">
        <f>IF(J48="","",J48*(1-K48))</f>
        <v/>
      </c>
      <c r="M48" s="27" t="inlineStr"/>
      <c r="N48" s="31" t="n"/>
      <c r="O48" s="22">
        <f>IF(J48="","",IF(M48="Annulée",0,J48-N48))</f>
        <v/>
      </c>
      <c r="P48" s="33">
        <f>IF(J48="","",IF(M48="Annulée","-",IF(O48&lt;=0,"Oui","Non")))</f>
        <v/>
      </c>
      <c r="Q48" s="27" t="inlineStr"/>
      <c r="R48" s="33">
        <f>IF(OR(J48="",G48=""),"",IF(AND(M48&lt;&gt;"Annulée",O48&gt;0,G48&lt;TODAY()),"⚠️ Retard",""))</f>
        <v/>
      </c>
      <c r="S48" s="33">
        <f>IF(F48="","",TEXT(F48,"yyyy-mm"))</f>
        <v/>
      </c>
      <c r="T48" s="28" t="inlineStr"/>
    </row>
    <row r="49">
      <c r="A49" s="26">
        <f>IF(D49="","",ROW()-4)</f>
        <v/>
      </c>
      <c r="B49" s="27" t="inlineStr"/>
      <c r="C49" s="27" t="inlineStr"/>
      <c r="D49" s="28" t="inlineStr"/>
      <c r="E49" s="28" t="inlineStr"/>
      <c r="F49" s="29" t="n"/>
      <c r="G49" s="29" t="n"/>
      <c r="H49" s="26">
        <f>IF(AND(G49&lt;&gt;"",F49&lt;&gt;""),G49-F49,"")</f>
        <v/>
      </c>
      <c r="I49" s="30" t="n"/>
      <c r="J49" s="31" t="n"/>
      <c r="K49" s="32" t="n"/>
      <c r="L49" s="22">
        <f>IF(J49="","",J49*(1-K49))</f>
        <v/>
      </c>
      <c r="M49" s="27" t="inlineStr"/>
      <c r="N49" s="31" t="n"/>
      <c r="O49" s="22">
        <f>IF(J49="","",IF(M49="Annulée",0,J49-N49))</f>
        <v/>
      </c>
      <c r="P49" s="33">
        <f>IF(J49="","",IF(M49="Annulée","-",IF(O49&lt;=0,"Oui","Non")))</f>
        <v/>
      </c>
      <c r="Q49" s="27" t="inlineStr"/>
      <c r="R49" s="33">
        <f>IF(OR(J49="",G49=""),"",IF(AND(M49&lt;&gt;"Annulée",O49&gt;0,G49&lt;TODAY()),"⚠️ Retard",""))</f>
        <v/>
      </c>
      <c r="S49" s="33">
        <f>IF(F49="","",TEXT(F49,"yyyy-mm"))</f>
        <v/>
      </c>
      <c r="T49" s="28" t="inlineStr"/>
    </row>
    <row r="50">
      <c r="A50" s="26">
        <f>IF(D50="","",ROW()-4)</f>
        <v/>
      </c>
      <c r="B50" s="27" t="inlineStr"/>
      <c r="C50" s="27" t="inlineStr"/>
      <c r="D50" s="28" t="inlineStr"/>
      <c r="E50" s="28" t="inlineStr"/>
      <c r="F50" s="29" t="n"/>
      <c r="G50" s="29" t="n"/>
      <c r="H50" s="26">
        <f>IF(AND(G50&lt;&gt;"",F50&lt;&gt;""),G50-F50,"")</f>
        <v/>
      </c>
      <c r="I50" s="30" t="n"/>
      <c r="J50" s="31" t="n"/>
      <c r="K50" s="32" t="n"/>
      <c r="L50" s="22">
        <f>IF(J50="","",J50*(1-K50))</f>
        <v/>
      </c>
      <c r="M50" s="27" t="inlineStr"/>
      <c r="N50" s="31" t="n"/>
      <c r="O50" s="22">
        <f>IF(J50="","",IF(M50="Annulée",0,J50-N50))</f>
        <v/>
      </c>
      <c r="P50" s="33">
        <f>IF(J50="","",IF(M50="Annulée","-",IF(O50&lt;=0,"Oui","Non")))</f>
        <v/>
      </c>
      <c r="Q50" s="27" t="inlineStr"/>
      <c r="R50" s="33">
        <f>IF(OR(J50="",G50=""),"",IF(AND(M50&lt;&gt;"Annulée",O50&gt;0,G50&lt;TODAY()),"⚠️ Retard",""))</f>
        <v/>
      </c>
      <c r="S50" s="33">
        <f>IF(F50="","",TEXT(F50,"yyyy-mm"))</f>
        <v/>
      </c>
      <c r="T50" s="28" t="inlineStr"/>
    </row>
    <row r="51">
      <c r="A51" s="26">
        <f>IF(D51="","",ROW()-4)</f>
        <v/>
      </c>
      <c r="B51" s="27" t="inlineStr"/>
      <c r="C51" s="27" t="inlineStr"/>
      <c r="D51" s="28" t="inlineStr"/>
      <c r="E51" s="28" t="inlineStr"/>
      <c r="F51" s="29" t="n"/>
      <c r="G51" s="29" t="n"/>
      <c r="H51" s="26">
        <f>IF(AND(G51&lt;&gt;"",F51&lt;&gt;""),G51-F51,"")</f>
        <v/>
      </c>
      <c r="I51" s="30" t="n"/>
      <c r="J51" s="31" t="n"/>
      <c r="K51" s="32" t="n"/>
      <c r="L51" s="22">
        <f>IF(J51="","",J51*(1-K51))</f>
        <v/>
      </c>
      <c r="M51" s="27" t="inlineStr"/>
      <c r="N51" s="31" t="n"/>
      <c r="O51" s="22">
        <f>IF(J51="","",IF(M51="Annulée",0,J51-N51))</f>
        <v/>
      </c>
      <c r="P51" s="33">
        <f>IF(J51="","",IF(M51="Annulée","-",IF(O51&lt;=0,"Oui","Non")))</f>
        <v/>
      </c>
      <c r="Q51" s="27" t="inlineStr"/>
      <c r="R51" s="33">
        <f>IF(OR(J51="",G51=""),"",IF(AND(M51&lt;&gt;"Annulée",O51&gt;0,G51&lt;TODAY()),"⚠️ Retard",""))</f>
        <v/>
      </c>
      <c r="S51" s="33">
        <f>IF(F51="","",TEXT(F51,"yyyy-mm"))</f>
        <v/>
      </c>
      <c r="T51" s="28" t="inlineStr"/>
    </row>
    <row r="52">
      <c r="A52" s="26">
        <f>IF(D52="","",ROW()-4)</f>
        <v/>
      </c>
      <c r="B52" s="27" t="inlineStr"/>
      <c r="C52" s="27" t="inlineStr"/>
      <c r="D52" s="28" t="inlineStr"/>
      <c r="E52" s="28" t="inlineStr"/>
      <c r="F52" s="29" t="n"/>
      <c r="G52" s="29" t="n"/>
      <c r="H52" s="26">
        <f>IF(AND(G52&lt;&gt;"",F52&lt;&gt;""),G52-F52,"")</f>
        <v/>
      </c>
      <c r="I52" s="30" t="n"/>
      <c r="J52" s="31" t="n"/>
      <c r="K52" s="32" t="n"/>
      <c r="L52" s="22">
        <f>IF(J52="","",J52*(1-K52))</f>
        <v/>
      </c>
      <c r="M52" s="27" t="inlineStr"/>
      <c r="N52" s="31" t="n"/>
      <c r="O52" s="22">
        <f>IF(J52="","",IF(M52="Annulée",0,J52-N52))</f>
        <v/>
      </c>
      <c r="P52" s="33">
        <f>IF(J52="","",IF(M52="Annulée","-",IF(O52&lt;=0,"Oui","Non")))</f>
        <v/>
      </c>
      <c r="Q52" s="27" t="inlineStr"/>
      <c r="R52" s="33">
        <f>IF(OR(J52="",G52=""),"",IF(AND(M52&lt;&gt;"Annulée",O52&gt;0,G52&lt;TODAY()),"⚠️ Retard",""))</f>
        <v/>
      </c>
      <c r="S52" s="33">
        <f>IF(F52="","",TEXT(F52,"yyyy-mm"))</f>
        <v/>
      </c>
      <c r="T52" s="28" t="inlineStr"/>
    </row>
    <row r="53">
      <c r="A53" s="26">
        <f>IF(D53="","",ROW()-4)</f>
        <v/>
      </c>
      <c r="B53" s="27" t="inlineStr"/>
      <c r="C53" s="27" t="inlineStr"/>
      <c r="D53" s="28" t="inlineStr"/>
      <c r="E53" s="28" t="inlineStr"/>
      <c r="F53" s="29" t="n"/>
      <c r="G53" s="29" t="n"/>
      <c r="H53" s="26">
        <f>IF(AND(G53&lt;&gt;"",F53&lt;&gt;""),G53-F53,"")</f>
        <v/>
      </c>
      <c r="I53" s="30" t="n"/>
      <c r="J53" s="31" t="n"/>
      <c r="K53" s="32" t="n"/>
      <c r="L53" s="22">
        <f>IF(J53="","",J53*(1-K53))</f>
        <v/>
      </c>
      <c r="M53" s="27" t="inlineStr"/>
      <c r="N53" s="31" t="n"/>
      <c r="O53" s="22">
        <f>IF(J53="","",IF(M53="Annulée",0,J53-N53))</f>
        <v/>
      </c>
      <c r="P53" s="33">
        <f>IF(J53="","",IF(M53="Annulée","-",IF(O53&lt;=0,"Oui","Non")))</f>
        <v/>
      </c>
      <c r="Q53" s="27" t="inlineStr"/>
      <c r="R53" s="33">
        <f>IF(OR(J53="",G53=""),"",IF(AND(M53&lt;&gt;"Annulée",O53&gt;0,G53&lt;TODAY()),"⚠️ Retard",""))</f>
        <v/>
      </c>
      <c r="S53" s="33">
        <f>IF(F53="","",TEXT(F53,"yyyy-mm"))</f>
        <v/>
      </c>
      <c r="T53" s="28" t="inlineStr"/>
    </row>
    <row r="54">
      <c r="A54" s="26">
        <f>IF(D54="","",ROW()-4)</f>
        <v/>
      </c>
      <c r="B54" s="27" t="inlineStr"/>
      <c r="C54" s="27" t="inlineStr"/>
      <c r="D54" s="28" t="inlineStr"/>
      <c r="E54" s="28" t="inlineStr"/>
      <c r="F54" s="29" t="n"/>
      <c r="G54" s="29" t="n"/>
      <c r="H54" s="26">
        <f>IF(AND(G54&lt;&gt;"",F54&lt;&gt;""),G54-F54,"")</f>
        <v/>
      </c>
      <c r="I54" s="30" t="n"/>
      <c r="J54" s="31" t="n"/>
      <c r="K54" s="32" t="n"/>
      <c r="L54" s="22">
        <f>IF(J54="","",J54*(1-K54))</f>
        <v/>
      </c>
      <c r="M54" s="27" t="inlineStr"/>
      <c r="N54" s="31" t="n"/>
      <c r="O54" s="22">
        <f>IF(J54="","",IF(M54="Annulée",0,J54-N54))</f>
        <v/>
      </c>
      <c r="P54" s="33">
        <f>IF(J54="","",IF(M54="Annulée","-",IF(O54&lt;=0,"Oui","Non")))</f>
        <v/>
      </c>
      <c r="Q54" s="27" t="inlineStr"/>
      <c r="R54" s="33">
        <f>IF(OR(J54="",G54=""),"",IF(AND(M54&lt;&gt;"Annulée",O54&gt;0,G54&lt;TODAY()),"⚠️ Retard",""))</f>
        <v/>
      </c>
      <c r="S54" s="33">
        <f>IF(F54="","",TEXT(F54,"yyyy-mm"))</f>
        <v/>
      </c>
      <c r="T54" s="28" t="inlineStr"/>
    </row>
    <row r="55">
      <c r="A55" s="26">
        <f>IF(D55="","",ROW()-4)</f>
        <v/>
      </c>
      <c r="B55" s="27" t="inlineStr"/>
      <c r="C55" s="27" t="inlineStr"/>
      <c r="D55" s="28" t="inlineStr"/>
      <c r="E55" s="28" t="inlineStr"/>
      <c r="F55" s="29" t="n"/>
      <c r="G55" s="29" t="n"/>
      <c r="H55" s="26">
        <f>IF(AND(G55&lt;&gt;"",F55&lt;&gt;""),G55-F55,"")</f>
        <v/>
      </c>
      <c r="I55" s="30" t="n"/>
      <c r="J55" s="31" t="n"/>
      <c r="K55" s="32" t="n"/>
      <c r="L55" s="22">
        <f>IF(J55="","",J55*(1-K55))</f>
        <v/>
      </c>
      <c r="M55" s="27" t="inlineStr"/>
      <c r="N55" s="31" t="n"/>
      <c r="O55" s="22">
        <f>IF(J55="","",IF(M55="Annulée",0,J55-N55))</f>
        <v/>
      </c>
      <c r="P55" s="33">
        <f>IF(J55="","",IF(M55="Annulée","-",IF(O55&lt;=0,"Oui","Non")))</f>
        <v/>
      </c>
      <c r="Q55" s="27" t="inlineStr"/>
      <c r="R55" s="33">
        <f>IF(OR(J55="",G55=""),"",IF(AND(M55&lt;&gt;"Annulée",O55&gt;0,G55&lt;TODAY()),"⚠️ Retard",""))</f>
        <v/>
      </c>
      <c r="S55" s="33">
        <f>IF(F55="","",TEXT(F55,"yyyy-mm"))</f>
        <v/>
      </c>
      <c r="T55" s="28" t="inlineStr"/>
    </row>
    <row r="56">
      <c r="A56" s="26">
        <f>IF(D56="","",ROW()-4)</f>
        <v/>
      </c>
      <c r="B56" s="27" t="inlineStr"/>
      <c r="C56" s="27" t="inlineStr"/>
      <c r="D56" s="28" t="inlineStr"/>
      <c r="E56" s="28" t="inlineStr"/>
      <c r="F56" s="29" t="n"/>
      <c r="G56" s="29" t="n"/>
      <c r="H56" s="26">
        <f>IF(AND(G56&lt;&gt;"",F56&lt;&gt;""),G56-F56,"")</f>
        <v/>
      </c>
      <c r="I56" s="30" t="n"/>
      <c r="J56" s="31" t="n"/>
      <c r="K56" s="32" t="n"/>
      <c r="L56" s="22">
        <f>IF(J56="","",J56*(1-K56))</f>
        <v/>
      </c>
      <c r="M56" s="27" t="inlineStr"/>
      <c r="N56" s="31" t="n"/>
      <c r="O56" s="22">
        <f>IF(J56="","",IF(M56="Annulée",0,J56-N56))</f>
        <v/>
      </c>
      <c r="P56" s="33">
        <f>IF(J56="","",IF(M56="Annulée","-",IF(O56&lt;=0,"Oui","Non")))</f>
        <v/>
      </c>
      <c r="Q56" s="27" t="inlineStr"/>
      <c r="R56" s="33">
        <f>IF(OR(J56="",G56=""),"",IF(AND(M56&lt;&gt;"Annulée",O56&gt;0,G56&lt;TODAY()),"⚠️ Retard",""))</f>
        <v/>
      </c>
      <c r="S56" s="33">
        <f>IF(F56="","",TEXT(F56,"yyyy-mm"))</f>
        <v/>
      </c>
      <c r="T56" s="28" t="inlineStr"/>
    </row>
    <row r="57">
      <c r="A57" s="26">
        <f>IF(D57="","",ROW()-4)</f>
        <v/>
      </c>
      <c r="B57" s="27" t="inlineStr"/>
      <c r="C57" s="27" t="inlineStr"/>
      <c r="D57" s="28" t="inlineStr"/>
      <c r="E57" s="28" t="inlineStr"/>
      <c r="F57" s="29" t="n"/>
      <c r="G57" s="29" t="n"/>
      <c r="H57" s="26">
        <f>IF(AND(G57&lt;&gt;"",F57&lt;&gt;""),G57-F57,"")</f>
        <v/>
      </c>
      <c r="I57" s="30" t="n"/>
      <c r="J57" s="31" t="n"/>
      <c r="K57" s="32" t="n"/>
      <c r="L57" s="22">
        <f>IF(J57="","",J57*(1-K57))</f>
        <v/>
      </c>
      <c r="M57" s="27" t="inlineStr"/>
      <c r="N57" s="31" t="n"/>
      <c r="O57" s="22">
        <f>IF(J57="","",IF(M57="Annulée",0,J57-N57))</f>
        <v/>
      </c>
      <c r="P57" s="33">
        <f>IF(J57="","",IF(M57="Annulée","-",IF(O57&lt;=0,"Oui","Non")))</f>
        <v/>
      </c>
      <c r="Q57" s="27" t="inlineStr"/>
      <c r="R57" s="33">
        <f>IF(OR(J57="",G57=""),"",IF(AND(M57&lt;&gt;"Annulée",O57&gt;0,G57&lt;TODAY()),"⚠️ Retard",""))</f>
        <v/>
      </c>
      <c r="S57" s="33">
        <f>IF(F57="","",TEXT(F57,"yyyy-mm"))</f>
        <v/>
      </c>
      <c r="T57" s="28" t="inlineStr"/>
    </row>
    <row r="58">
      <c r="A58" s="26">
        <f>IF(D58="","",ROW()-4)</f>
        <v/>
      </c>
      <c r="B58" s="27" t="inlineStr"/>
      <c r="C58" s="27" t="inlineStr"/>
      <c r="D58" s="28" t="inlineStr"/>
      <c r="E58" s="28" t="inlineStr"/>
      <c r="F58" s="29" t="n"/>
      <c r="G58" s="29" t="n"/>
      <c r="H58" s="26">
        <f>IF(AND(G58&lt;&gt;"",F58&lt;&gt;""),G58-F58,"")</f>
        <v/>
      </c>
      <c r="I58" s="30" t="n"/>
      <c r="J58" s="31" t="n"/>
      <c r="K58" s="32" t="n"/>
      <c r="L58" s="22">
        <f>IF(J58="","",J58*(1-K58))</f>
        <v/>
      </c>
      <c r="M58" s="27" t="inlineStr"/>
      <c r="N58" s="31" t="n"/>
      <c r="O58" s="22">
        <f>IF(J58="","",IF(M58="Annulée",0,J58-N58))</f>
        <v/>
      </c>
      <c r="P58" s="33">
        <f>IF(J58="","",IF(M58="Annulée","-",IF(O58&lt;=0,"Oui","Non")))</f>
        <v/>
      </c>
      <c r="Q58" s="27" t="inlineStr"/>
      <c r="R58" s="33">
        <f>IF(OR(J58="",G58=""),"",IF(AND(M58&lt;&gt;"Annulée",O58&gt;0,G58&lt;TODAY()),"⚠️ Retard",""))</f>
        <v/>
      </c>
      <c r="S58" s="33">
        <f>IF(F58="","",TEXT(F58,"yyyy-mm"))</f>
        <v/>
      </c>
      <c r="T58" s="28" t="inlineStr"/>
    </row>
    <row r="59">
      <c r="A59" s="26">
        <f>IF(D59="","",ROW()-4)</f>
        <v/>
      </c>
      <c r="B59" s="27" t="inlineStr"/>
      <c r="C59" s="27" t="inlineStr"/>
      <c r="D59" s="28" t="inlineStr"/>
      <c r="E59" s="28" t="inlineStr"/>
      <c r="F59" s="29" t="n"/>
      <c r="G59" s="29" t="n"/>
      <c r="H59" s="26">
        <f>IF(AND(G59&lt;&gt;"",F59&lt;&gt;""),G59-F59,"")</f>
        <v/>
      </c>
      <c r="I59" s="30" t="n"/>
      <c r="J59" s="31" t="n"/>
      <c r="K59" s="32" t="n"/>
      <c r="L59" s="22">
        <f>IF(J59="","",J59*(1-K59))</f>
        <v/>
      </c>
      <c r="M59" s="27" t="inlineStr"/>
      <c r="N59" s="31" t="n"/>
      <c r="O59" s="22">
        <f>IF(J59="","",IF(M59="Annulée",0,J59-N59))</f>
        <v/>
      </c>
      <c r="P59" s="33">
        <f>IF(J59="","",IF(M59="Annulée","-",IF(O59&lt;=0,"Oui","Non")))</f>
        <v/>
      </c>
      <c r="Q59" s="27" t="inlineStr"/>
      <c r="R59" s="33">
        <f>IF(OR(J59="",G59=""),"",IF(AND(M59&lt;&gt;"Annulée",O59&gt;0,G59&lt;TODAY()),"⚠️ Retard",""))</f>
        <v/>
      </c>
      <c r="S59" s="33">
        <f>IF(F59="","",TEXT(F59,"yyyy-mm"))</f>
        <v/>
      </c>
      <c r="T59" s="28" t="inlineStr"/>
    </row>
    <row r="60">
      <c r="A60" s="26">
        <f>IF(D60="","",ROW()-4)</f>
        <v/>
      </c>
      <c r="B60" s="27" t="inlineStr"/>
      <c r="C60" s="27" t="inlineStr"/>
      <c r="D60" s="28" t="inlineStr"/>
      <c r="E60" s="28" t="inlineStr"/>
      <c r="F60" s="29" t="n"/>
      <c r="G60" s="29" t="n"/>
      <c r="H60" s="26">
        <f>IF(AND(G60&lt;&gt;"",F60&lt;&gt;""),G60-F60,"")</f>
        <v/>
      </c>
      <c r="I60" s="30" t="n"/>
      <c r="J60" s="31" t="n"/>
      <c r="K60" s="32" t="n"/>
      <c r="L60" s="22">
        <f>IF(J60="","",J60*(1-K60))</f>
        <v/>
      </c>
      <c r="M60" s="27" t="inlineStr"/>
      <c r="N60" s="31" t="n"/>
      <c r="O60" s="22">
        <f>IF(J60="","",IF(M60="Annulée",0,J60-N60))</f>
        <v/>
      </c>
      <c r="P60" s="33">
        <f>IF(J60="","",IF(M60="Annulée","-",IF(O60&lt;=0,"Oui","Non")))</f>
        <v/>
      </c>
      <c r="Q60" s="27" t="inlineStr"/>
      <c r="R60" s="33">
        <f>IF(OR(J60="",G60=""),"",IF(AND(M60&lt;&gt;"Annulée",O60&gt;0,G60&lt;TODAY()),"⚠️ Retard",""))</f>
        <v/>
      </c>
      <c r="S60" s="33">
        <f>IF(F60="","",TEXT(F60,"yyyy-mm"))</f>
        <v/>
      </c>
      <c r="T60" s="28" t="inlineStr"/>
    </row>
    <row r="61">
      <c r="A61" s="26">
        <f>IF(D61="","",ROW()-4)</f>
        <v/>
      </c>
      <c r="B61" s="27" t="inlineStr"/>
      <c r="C61" s="27" t="inlineStr"/>
      <c r="D61" s="28" t="inlineStr"/>
      <c r="E61" s="28" t="inlineStr"/>
      <c r="F61" s="29" t="n"/>
      <c r="G61" s="29" t="n"/>
      <c r="H61" s="26">
        <f>IF(AND(G61&lt;&gt;"",F61&lt;&gt;""),G61-F61,"")</f>
        <v/>
      </c>
      <c r="I61" s="30" t="n"/>
      <c r="J61" s="31" t="n"/>
      <c r="K61" s="32" t="n"/>
      <c r="L61" s="22">
        <f>IF(J61="","",J61*(1-K61))</f>
        <v/>
      </c>
      <c r="M61" s="27" t="inlineStr"/>
      <c r="N61" s="31" t="n"/>
      <c r="O61" s="22">
        <f>IF(J61="","",IF(M61="Annulée",0,J61-N61))</f>
        <v/>
      </c>
      <c r="P61" s="33">
        <f>IF(J61="","",IF(M61="Annulée","-",IF(O61&lt;=0,"Oui","Non")))</f>
        <v/>
      </c>
      <c r="Q61" s="27" t="inlineStr"/>
      <c r="R61" s="33">
        <f>IF(OR(J61="",G61=""),"",IF(AND(M61&lt;&gt;"Annulée",O61&gt;0,G61&lt;TODAY()),"⚠️ Retard",""))</f>
        <v/>
      </c>
      <c r="S61" s="33">
        <f>IF(F61="","",TEXT(F61,"yyyy-mm"))</f>
        <v/>
      </c>
      <c r="T61" s="28" t="inlineStr"/>
    </row>
    <row r="62">
      <c r="A62" s="26">
        <f>IF(D62="","",ROW()-4)</f>
        <v/>
      </c>
      <c r="B62" s="27" t="inlineStr"/>
      <c r="C62" s="27" t="inlineStr"/>
      <c r="D62" s="28" t="inlineStr"/>
      <c r="E62" s="28" t="inlineStr"/>
      <c r="F62" s="29" t="n"/>
      <c r="G62" s="29" t="n"/>
      <c r="H62" s="26">
        <f>IF(AND(G62&lt;&gt;"",F62&lt;&gt;""),G62-F62,"")</f>
        <v/>
      </c>
      <c r="I62" s="30" t="n"/>
      <c r="J62" s="31" t="n"/>
      <c r="K62" s="32" t="n"/>
      <c r="L62" s="22">
        <f>IF(J62="","",J62*(1-K62))</f>
        <v/>
      </c>
      <c r="M62" s="27" t="inlineStr"/>
      <c r="N62" s="31" t="n"/>
      <c r="O62" s="22">
        <f>IF(J62="","",IF(M62="Annulée",0,J62-N62))</f>
        <v/>
      </c>
      <c r="P62" s="33">
        <f>IF(J62="","",IF(M62="Annulée","-",IF(O62&lt;=0,"Oui","Non")))</f>
        <v/>
      </c>
      <c r="Q62" s="27" t="inlineStr"/>
      <c r="R62" s="33">
        <f>IF(OR(J62="",G62=""),"",IF(AND(M62&lt;&gt;"Annulée",O62&gt;0,G62&lt;TODAY()),"⚠️ Retard",""))</f>
        <v/>
      </c>
      <c r="S62" s="33">
        <f>IF(F62="","",TEXT(F62,"yyyy-mm"))</f>
        <v/>
      </c>
      <c r="T62" s="28" t="inlineStr"/>
    </row>
    <row r="63">
      <c r="A63" s="26">
        <f>IF(D63="","",ROW()-4)</f>
        <v/>
      </c>
      <c r="B63" s="27" t="inlineStr"/>
      <c r="C63" s="27" t="inlineStr"/>
      <c r="D63" s="28" t="inlineStr"/>
      <c r="E63" s="28" t="inlineStr"/>
      <c r="F63" s="29" t="n"/>
      <c r="G63" s="29" t="n"/>
      <c r="H63" s="26">
        <f>IF(AND(G63&lt;&gt;"",F63&lt;&gt;""),G63-F63,"")</f>
        <v/>
      </c>
      <c r="I63" s="30" t="n"/>
      <c r="J63" s="31" t="n"/>
      <c r="K63" s="32" t="n"/>
      <c r="L63" s="22">
        <f>IF(J63="","",J63*(1-K63))</f>
        <v/>
      </c>
      <c r="M63" s="27" t="inlineStr"/>
      <c r="N63" s="31" t="n"/>
      <c r="O63" s="22">
        <f>IF(J63="","",IF(M63="Annulée",0,J63-N63))</f>
        <v/>
      </c>
      <c r="P63" s="33">
        <f>IF(J63="","",IF(M63="Annulée","-",IF(O63&lt;=0,"Oui","Non")))</f>
        <v/>
      </c>
      <c r="Q63" s="27" t="inlineStr"/>
      <c r="R63" s="33">
        <f>IF(OR(J63="",G63=""),"",IF(AND(M63&lt;&gt;"Annulée",O63&gt;0,G63&lt;TODAY()),"⚠️ Retard",""))</f>
        <v/>
      </c>
      <c r="S63" s="33">
        <f>IF(F63="","",TEXT(F63,"yyyy-mm"))</f>
        <v/>
      </c>
      <c r="T63" s="28" t="inlineStr"/>
    </row>
    <row r="64">
      <c r="A64" s="26">
        <f>IF(D64="","",ROW()-4)</f>
        <v/>
      </c>
      <c r="B64" s="27" t="inlineStr"/>
      <c r="C64" s="27" t="inlineStr"/>
      <c r="D64" s="28" t="inlineStr"/>
      <c r="E64" s="28" t="inlineStr"/>
      <c r="F64" s="29" t="n"/>
      <c r="G64" s="29" t="n"/>
      <c r="H64" s="26">
        <f>IF(AND(G64&lt;&gt;"",F64&lt;&gt;""),G64-F64,"")</f>
        <v/>
      </c>
      <c r="I64" s="30" t="n"/>
      <c r="J64" s="31" t="n"/>
      <c r="K64" s="32" t="n"/>
      <c r="L64" s="22">
        <f>IF(J64="","",J64*(1-K64))</f>
        <v/>
      </c>
      <c r="M64" s="27" t="inlineStr"/>
      <c r="N64" s="31" t="n"/>
      <c r="O64" s="22">
        <f>IF(J64="","",IF(M64="Annulée",0,J64-N64))</f>
        <v/>
      </c>
      <c r="P64" s="33">
        <f>IF(J64="","",IF(M64="Annulée","-",IF(O64&lt;=0,"Oui","Non")))</f>
        <v/>
      </c>
      <c r="Q64" s="27" t="inlineStr"/>
      <c r="R64" s="33">
        <f>IF(OR(J64="",G64=""),"",IF(AND(M64&lt;&gt;"Annulée",O64&gt;0,G64&lt;TODAY()),"⚠️ Retard",""))</f>
        <v/>
      </c>
      <c r="S64" s="33">
        <f>IF(F64="","",TEXT(F64,"yyyy-mm"))</f>
        <v/>
      </c>
      <c r="T64" s="28" t="inlineStr"/>
    </row>
    <row r="65">
      <c r="A65" s="26">
        <f>IF(D65="","",ROW()-4)</f>
        <v/>
      </c>
      <c r="B65" s="27" t="inlineStr"/>
      <c r="C65" s="27" t="inlineStr"/>
      <c r="D65" s="28" t="inlineStr"/>
      <c r="E65" s="28" t="inlineStr"/>
      <c r="F65" s="29" t="n"/>
      <c r="G65" s="29" t="n"/>
      <c r="H65" s="26">
        <f>IF(AND(G65&lt;&gt;"",F65&lt;&gt;""),G65-F65,"")</f>
        <v/>
      </c>
      <c r="I65" s="30" t="n"/>
      <c r="J65" s="31" t="n"/>
      <c r="K65" s="32" t="n"/>
      <c r="L65" s="22">
        <f>IF(J65="","",J65*(1-K65))</f>
        <v/>
      </c>
      <c r="M65" s="27" t="inlineStr"/>
      <c r="N65" s="31" t="n"/>
      <c r="O65" s="22">
        <f>IF(J65="","",IF(M65="Annulée",0,J65-N65))</f>
        <v/>
      </c>
      <c r="P65" s="33">
        <f>IF(J65="","",IF(M65="Annulée","-",IF(O65&lt;=0,"Oui","Non")))</f>
        <v/>
      </c>
      <c r="Q65" s="27" t="inlineStr"/>
      <c r="R65" s="33">
        <f>IF(OR(J65="",G65=""),"",IF(AND(M65&lt;&gt;"Annulée",O65&gt;0,G65&lt;TODAY()),"⚠️ Retard",""))</f>
        <v/>
      </c>
      <c r="S65" s="33">
        <f>IF(F65="","",TEXT(F65,"yyyy-mm"))</f>
        <v/>
      </c>
      <c r="T65" s="28" t="inlineStr"/>
    </row>
    <row r="66">
      <c r="A66" s="26">
        <f>IF(D66="","",ROW()-4)</f>
        <v/>
      </c>
      <c r="B66" s="27" t="inlineStr"/>
      <c r="C66" s="27" t="inlineStr"/>
      <c r="D66" s="28" t="inlineStr"/>
      <c r="E66" s="28" t="inlineStr"/>
      <c r="F66" s="29" t="n"/>
      <c r="G66" s="29" t="n"/>
      <c r="H66" s="26">
        <f>IF(AND(G66&lt;&gt;"",F66&lt;&gt;""),G66-F66,"")</f>
        <v/>
      </c>
      <c r="I66" s="30" t="n"/>
      <c r="J66" s="31" t="n"/>
      <c r="K66" s="32" t="n"/>
      <c r="L66" s="22">
        <f>IF(J66="","",J66*(1-K66))</f>
        <v/>
      </c>
      <c r="M66" s="27" t="inlineStr"/>
      <c r="N66" s="31" t="n"/>
      <c r="O66" s="22">
        <f>IF(J66="","",IF(M66="Annulée",0,J66-N66))</f>
        <v/>
      </c>
      <c r="P66" s="33">
        <f>IF(J66="","",IF(M66="Annulée","-",IF(O66&lt;=0,"Oui","Non")))</f>
        <v/>
      </c>
      <c r="Q66" s="27" t="inlineStr"/>
      <c r="R66" s="33">
        <f>IF(OR(J66="",G66=""),"",IF(AND(M66&lt;&gt;"Annulée",O66&gt;0,G66&lt;TODAY()),"⚠️ Retard",""))</f>
        <v/>
      </c>
      <c r="S66" s="33">
        <f>IF(F66="","",TEXT(F66,"yyyy-mm"))</f>
        <v/>
      </c>
      <c r="T66" s="28" t="inlineStr"/>
    </row>
    <row r="67">
      <c r="A67" s="26">
        <f>IF(D67="","",ROW()-4)</f>
        <v/>
      </c>
      <c r="B67" s="27" t="inlineStr"/>
      <c r="C67" s="27" t="inlineStr"/>
      <c r="D67" s="28" t="inlineStr"/>
      <c r="E67" s="28" t="inlineStr"/>
      <c r="F67" s="29" t="n"/>
      <c r="G67" s="29" t="n"/>
      <c r="H67" s="26">
        <f>IF(AND(G67&lt;&gt;"",F67&lt;&gt;""),G67-F67,"")</f>
        <v/>
      </c>
      <c r="I67" s="30" t="n"/>
      <c r="J67" s="31" t="n"/>
      <c r="K67" s="32" t="n"/>
      <c r="L67" s="22">
        <f>IF(J67="","",J67*(1-K67))</f>
        <v/>
      </c>
      <c r="M67" s="27" t="inlineStr"/>
      <c r="N67" s="31" t="n"/>
      <c r="O67" s="22">
        <f>IF(J67="","",IF(M67="Annulée",0,J67-N67))</f>
        <v/>
      </c>
      <c r="P67" s="33">
        <f>IF(J67="","",IF(M67="Annulée","-",IF(O67&lt;=0,"Oui","Non")))</f>
        <v/>
      </c>
      <c r="Q67" s="27" t="inlineStr"/>
      <c r="R67" s="33">
        <f>IF(OR(J67="",G67=""),"",IF(AND(M67&lt;&gt;"Annulée",O67&gt;0,G67&lt;TODAY()),"⚠️ Retard",""))</f>
        <v/>
      </c>
      <c r="S67" s="33">
        <f>IF(F67="","",TEXT(F67,"yyyy-mm"))</f>
        <v/>
      </c>
      <c r="T67" s="28" t="inlineStr"/>
    </row>
    <row r="68">
      <c r="A68" s="26">
        <f>IF(D68="","",ROW()-4)</f>
        <v/>
      </c>
      <c r="B68" s="27" t="inlineStr"/>
      <c r="C68" s="27" t="inlineStr"/>
      <c r="D68" s="28" t="inlineStr"/>
      <c r="E68" s="28" t="inlineStr"/>
      <c r="F68" s="29" t="n"/>
      <c r="G68" s="29" t="n"/>
      <c r="H68" s="26">
        <f>IF(AND(G68&lt;&gt;"",F68&lt;&gt;""),G68-F68,"")</f>
        <v/>
      </c>
      <c r="I68" s="30" t="n"/>
      <c r="J68" s="31" t="n"/>
      <c r="K68" s="32" t="n"/>
      <c r="L68" s="22">
        <f>IF(J68="","",J68*(1-K68))</f>
        <v/>
      </c>
      <c r="M68" s="27" t="inlineStr"/>
      <c r="N68" s="31" t="n"/>
      <c r="O68" s="22">
        <f>IF(J68="","",IF(M68="Annulée",0,J68-N68))</f>
        <v/>
      </c>
      <c r="P68" s="33">
        <f>IF(J68="","",IF(M68="Annulée","-",IF(O68&lt;=0,"Oui","Non")))</f>
        <v/>
      </c>
      <c r="Q68" s="27" t="inlineStr"/>
      <c r="R68" s="33">
        <f>IF(OR(J68="",G68=""),"",IF(AND(M68&lt;&gt;"Annulée",O68&gt;0,G68&lt;TODAY()),"⚠️ Retard",""))</f>
        <v/>
      </c>
      <c r="S68" s="33">
        <f>IF(F68="","",TEXT(F68,"yyyy-mm"))</f>
        <v/>
      </c>
      <c r="T68" s="28" t="inlineStr"/>
    </row>
    <row r="69">
      <c r="A69" s="26">
        <f>IF(D69="","",ROW()-4)</f>
        <v/>
      </c>
      <c r="B69" s="27" t="inlineStr"/>
      <c r="C69" s="27" t="inlineStr"/>
      <c r="D69" s="28" t="inlineStr"/>
      <c r="E69" s="28" t="inlineStr"/>
      <c r="F69" s="29" t="n"/>
      <c r="G69" s="29" t="n"/>
      <c r="H69" s="26">
        <f>IF(AND(G69&lt;&gt;"",F69&lt;&gt;""),G69-F69,"")</f>
        <v/>
      </c>
      <c r="I69" s="30" t="n"/>
      <c r="J69" s="31" t="n"/>
      <c r="K69" s="32" t="n"/>
      <c r="L69" s="22">
        <f>IF(J69="","",J69*(1-K69))</f>
        <v/>
      </c>
      <c r="M69" s="27" t="inlineStr"/>
      <c r="N69" s="31" t="n"/>
      <c r="O69" s="22">
        <f>IF(J69="","",IF(M69="Annulée",0,J69-N69))</f>
        <v/>
      </c>
      <c r="P69" s="33">
        <f>IF(J69="","",IF(M69="Annulée","-",IF(O69&lt;=0,"Oui","Non")))</f>
        <v/>
      </c>
      <c r="Q69" s="27" t="inlineStr"/>
      <c r="R69" s="33">
        <f>IF(OR(J69="",G69=""),"",IF(AND(M69&lt;&gt;"Annulée",O69&gt;0,G69&lt;TODAY()),"⚠️ Retard",""))</f>
        <v/>
      </c>
      <c r="S69" s="33">
        <f>IF(F69="","",TEXT(F69,"yyyy-mm"))</f>
        <v/>
      </c>
      <c r="T69" s="28" t="inlineStr"/>
    </row>
    <row r="70">
      <c r="A70" s="26">
        <f>IF(D70="","",ROW()-4)</f>
        <v/>
      </c>
      <c r="B70" s="27" t="inlineStr"/>
      <c r="C70" s="27" t="inlineStr"/>
      <c r="D70" s="28" t="inlineStr"/>
      <c r="E70" s="28" t="inlineStr"/>
      <c r="F70" s="29" t="n"/>
      <c r="G70" s="29" t="n"/>
      <c r="H70" s="26">
        <f>IF(AND(G70&lt;&gt;"",F70&lt;&gt;""),G70-F70,"")</f>
        <v/>
      </c>
      <c r="I70" s="30" t="n"/>
      <c r="J70" s="31" t="n"/>
      <c r="K70" s="32" t="n"/>
      <c r="L70" s="22">
        <f>IF(J70="","",J70*(1-K70))</f>
        <v/>
      </c>
      <c r="M70" s="27" t="inlineStr"/>
      <c r="N70" s="31" t="n"/>
      <c r="O70" s="22">
        <f>IF(J70="","",IF(M70="Annulée",0,J70-N70))</f>
        <v/>
      </c>
      <c r="P70" s="33">
        <f>IF(J70="","",IF(M70="Annulée","-",IF(O70&lt;=0,"Oui","Non")))</f>
        <v/>
      </c>
      <c r="Q70" s="27" t="inlineStr"/>
      <c r="R70" s="33">
        <f>IF(OR(J70="",G70=""),"",IF(AND(M70&lt;&gt;"Annulée",O70&gt;0,G70&lt;TODAY()),"⚠️ Retard",""))</f>
        <v/>
      </c>
      <c r="S70" s="33">
        <f>IF(F70="","",TEXT(F70,"yyyy-mm"))</f>
        <v/>
      </c>
      <c r="T70" s="28" t="inlineStr"/>
    </row>
    <row r="71">
      <c r="A71" s="26">
        <f>IF(D71="","",ROW()-4)</f>
        <v/>
      </c>
      <c r="B71" s="27" t="inlineStr"/>
      <c r="C71" s="27" t="inlineStr"/>
      <c r="D71" s="28" t="inlineStr"/>
      <c r="E71" s="28" t="inlineStr"/>
      <c r="F71" s="29" t="n"/>
      <c r="G71" s="29" t="n"/>
      <c r="H71" s="26">
        <f>IF(AND(G71&lt;&gt;"",F71&lt;&gt;""),G71-F71,"")</f>
        <v/>
      </c>
      <c r="I71" s="30" t="n"/>
      <c r="J71" s="31" t="n"/>
      <c r="K71" s="32" t="n"/>
      <c r="L71" s="22">
        <f>IF(J71="","",J71*(1-K71))</f>
        <v/>
      </c>
      <c r="M71" s="27" t="inlineStr"/>
      <c r="N71" s="31" t="n"/>
      <c r="O71" s="22">
        <f>IF(J71="","",IF(M71="Annulée",0,J71-N71))</f>
        <v/>
      </c>
      <c r="P71" s="33">
        <f>IF(J71="","",IF(M71="Annulée","-",IF(O71&lt;=0,"Oui","Non")))</f>
        <v/>
      </c>
      <c r="Q71" s="27" t="inlineStr"/>
      <c r="R71" s="33">
        <f>IF(OR(J71="",G71=""),"",IF(AND(M71&lt;&gt;"Annulée",O71&gt;0,G71&lt;TODAY()),"⚠️ Retard",""))</f>
        <v/>
      </c>
      <c r="S71" s="33">
        <f>IF(F71="","",TEXT(F71,"yyyy-mm"))</f>
        <v/>
      </c>
      <c r="T71" s="28" t="inlineStr"/>
    </row>
    <row r="72">
      <c r="A72" s="26">
        <f>IF(D72="","",ROW()-4)</f>
        <v/>
      </c>
      <c r="B72" s="27" t="inlineStr"/>
      <c r="C72" s="27" t="inlineStr"/>
      <c r="D72" s="28" t="inlineStr"/>
      <c r="E72" s="28" t="inlineStr"/>
      <c r="F72" s="29" t="n"/>
      <c r="G72" s="29" t="n"/>
      <c r="H72" s="26">
        <f>IF(AND(G72&lt;&gt;"",F72&lt;&gt;""),G72-F72,"")</f>
        <v/>
      </c>
      <c r="I72" s="30" t="n"/>
      <c r="J72" s="31" t="n"/>
      <c r="K72" s="32" t="n"/>
      <c r="L72" s="22">
        <f>IF(J72="","",J72*(1-K72))</f>
        <v/>
      </c>
      <c r="M72" s="27" t="inlineStr"/>
      <c r="N72" s="31" t="n"/>
      <c r="O72" s="22">
        <f>IF(J72="","",IF(M72="Annulée",0,J72-N72))</f>
        <v/>
      </c>
      <c r="P72" s="33">
        <f>IF(J72="","",IF(M72="Annulée","-",IF(O72&lt;=0,"Oui","Non")))</f>
        <v/>
      </c>
      <c r="Q72" s="27" t="inlineStr"/>
      <c r="R72" s="33">
        <f>IF(OR(J72="",G72=""),"",IF(AND(M72&lt;&gt;"Annulée",O72&gt;0,G72&lt;TODAY()),"⚠️ Retard",""))</f>
        <v/>
      </c>
      <c r="S72" s="33">
        <f>IF(F72="","",TEXT(F72,"yyyy-mm"))</f>
        <v/>
      </c>
      <c r="T72" s="28" t="inlineStr"/>
    </row>
    <row r="73">
      <c r="A73" s="26">
        <f>IF(D73="","",ROW()-4)</f>
        <v/>
      </c>
      <c r="B73" s="27" t="inlineStr"/>
      <c r="C73" s="27" t="inlineStr"/>
      <c r="D73" s="28" t="inlineStr"/>
      <c r="E73" s="28" t="inlineStr"/>
      <c r="F73" s="29" t="n"/>
      <c r="G73" s="29" t="n"/>
      <c r="H73" s="26">
        <f>IF(AND(G73&lt;&gt;"",F73&lt;&gt;""),G73-F73,"")</f>
        <v/>
      </c>
      <c r="I73" s="30" t="n"/>
      <c r="J73" s="31" t="n"/>
      <c r="K73" s="32" t="n"/>
      <c r="L73" s="22">
        <f>IF(J73="","",J73*(1-K73))</f>
        <v/>
      </c>
      <c r="M73" s="27" t="inlineStr"/>
      <c r="N73" s="31" t="n"/>
      <c r="O73" s="22">
        <f>IF(J73="","",IF(M73="Annulée",0,J73-N73))</f>
        <v/>
      </c>
      <c r="P73" s="33">
        <f>IF(J73="","",IF(M73="Annulée","-",IF(O73&lt;=0,"Oui","Non")))</f>
        <v/>
      </c>
      <c r="Q73" s="27" t="inlineStr"/>
      <c r="R73" s="33">
        <f>IF(OR(J73="",G73=""),"",IF(AND(M73&lt;&gt;"Annulée",O73&gt;0,G73&lt;TODAY()),"⚠️ Retard",""))</f>
        <v/>
      </c>
      <c r="S73" s="33">
        <f>IF(F73="","",TEXT(F73,"yyyy-mm"))</f>
        <v/>
      </c>
      <c r="T73" s="28" t="inlineStr"/>
    </row>
    <row r="74">
      <c r="A74" s="26">
        <f>IF(D74="","",ROW()-4)</f>
        <v/>
      </c>
      <c r="B74" s="27" t="inlineStr"/>
      <c r="C74" s="27" t="inlineStr"/>
      <c r="D74" s="28" t="inlineStr"/>
      <c r="E74" s="28" t="inlineStr"/>
      <c r="F74" s="29" t="n"/>
      <c r="G74" s="29" t="n"/>
      <c r="H74" s="26">
        <f>IF(AND(G74&lt;&gt;"",F74&lt;&gt;""),G74-F74,"")</f>
        <v/>
      </c>
      <c r="I74" s="30" t="n"/>
      <c r="J74" s="31" t="n"/>
      <c r="K74" s="32" t="n"/>
      <c r="L74" s="22">
        <f>IF(J74="","",J74*(1-K74))</f>
        <v/>
      </c>
      <c r="M74" s="27" t="inlineStr"/>
      <c r="N74" s="31" t="n"/>
      <c r="O74" s="22">
        <f>IF(J74="","",IF(M74="Annulée",0,J74-N74))</f>
        <v/>
      </c>
      <c r="P74" s="33">
        <f>IF(J74="","",IF(M74="Annulée","-",IF(O74&lt;=0,"Oui","Non")))</f>
        <v/>
      </c>
      <c r="Q74" s="27" t="inlineStr"/>
      <c r="R74" s="33">
        <f>IF(OR(J74="",G74=""),"",IF(AND(M74&lt;&gt;"Annulée",O74&gt;0,G74&lt;TODAY()),"⚠️ Retard",""))</f>
        <v/>
      </c>
      <c r="S74" s="33">
        <f>IF(F74="","",TEXT(F74,"yyyy-mm"))</f>
        <v/>
      </c>
      <c r="T74" s="28" t="inlineStr"/>
    </row>
    <row r="75">
      <c r="A75" s="26">
        <f>IF(D75="","",ROW()-4)</f>
        <v/>
      </c>
      <c r="B75" s="27" t="inlineStr"/>
      <c r="C75" s="27" t="inlineStr"/>
      <c r="D75" s="28" t="inlineStr"/>
      <c r="E75" s="28" t="inlineStr"/>
      <c r="F75" s="29" t="n"/>
      <c r="G75" s="29" t="n"/>
      <c r="H75" s="26">
        <f>IF(AND(G75&lt;&gt;"",F75&lt;&gt;""),G75-F75,"")</f>
        <v/>
      </c>
      <c r="I75" s="30" t="n"/>
      <c r="J75" s="31" t="n"/>
      <c r="K75" s="32" t="n"/>
      <c r="L75" s="22">
        <f>IF(J75="","",J75*(1-K75))</f>
        <v/>
      </c>
      <c r="M75" s="27" t="inlineStr"/>
      <c r="N75" s="31" t="n"/>
      <c r="O75" s="22">
        <f>IF(J75="","",IF(M75="Annulée",0,J75-N75))</f>
        <v/>
      </c>
      <c r="P75" s="33">
        <f>IF(J75="","",IF(M75="Annulée","-",IF(O75&lt;=0,"Oui","Non")))</f>
        <v/>
      </c>
      <c r="Q75" s="27" t="inlineStr"/>
      <c r="R75" s="33">
        <f>IF(OR(J75="",G75=""),"",IF(AND(M75&lt;&gt;"Annulée",O75&gt;0,G75&lt;TODAY()),"⚠️ Retard",""))</f>
        <v/>
      </c>
      <c r="S75" s="33">
        <f>IF(F75="","",TEXT(F75,"yyyy-mm"))</f>
        <v/>
      </c>
      <c r="T75" s="28" t="inlineStr"/>
    </row>
    <row r="76">
      <c r="A76" s="26">
        <f>IF(D76="","",ROW()-4)</f>
        <v/>
      </c>
      <c r="B76" s="27" t="inlineStr"/>
      <c r="C76" s="27" t="inlineStr"/>
      <c r="D76" s="28" t="inlineStr"/>
      <c r="E76" s="28" t="inlineStr"/>
      <c r="F76" s="29" t="n"/>
      <c r="G76" s="29" t="n"/>
      <c r="H76" s="26">
        <f>IF(AND(G76&lt;&gt;"",F76&lt;&gt;""),G76-F76,"")</f>
        <v/>
      </c>
      <c r="I76" s="30" t="n"/>
      <c r="J76" s="31" t="n"/>
      <c r="K76" s="32" t="n"/>
      <c r="L76" s="22">
        <f>IF(J76="","",J76*(1-K76))</f>
        <v/>
      </c>
      <c r="M76" s="27" t="inlineStr"/>
      <c r="N76" s="31" t="n"/>
      <c r="O76" s="22">
        <f>IF(J76="","",IF(M76="Annulée",0,J76-N76))</f>
        <v/>
      </c>
      <c r="P76" s="33">
        <f>IF(J76="","",IF(M76="Annulée","-",IF(O76&lt;=0,"Oui","Non")))</f>
        <v/>
      </c>
      <c r="Q76" s="27" t="inlineStr"/>
      <c r="R76" s="33">
        <f>IF(OR(J76="",G76=""),"",IF(AND(M76&lt;&gt;"Annulée",O76&gt;0,G76&lt;TODAY()),"⚠️ Retard",""))</f>
        <v/>
      </c>
      <c r="S76" s="33">
        <f>IF(F76="","",TEXT(F76,"yyyy-mm"))</f>
        <v/>
      </c>
      <c r="T76" s="28" t="inlineStr"/>
    </row>
    <row r="77">
      <c r="A77" s="26">
        <f>IF(D77="","",ROW()-4)</f>
        <v/>
      </c>
      <c r="B77" s="27" t="inlineStr"/>
      <c r="C77" s="27" t="inlineStr"/>
      <c r="D77" s="28" t="inlineStr"/>
      <c r="E77" s="28" t="inlineStr"/>
      <c r="F77" s="29" t="n"/>
      <c r="G77" s="29" t="n"/>
      <c r="H77" s="26">
        <f>IF(AND(G77&lt;&gt;"",F77&lt;&gt;""),G77-F77,"")</f>
        <v/>
      </c>
      <c r="I77" s="30" t="n"/>
      <c r="J77" s="31" t="n"/>
      <c r="K77" s="32" t="n"/>
      <c r="L77" s="22">
        <f>IF(J77="","",J77*(1-K77))</f>
        <v/>
      </c>
      <c r="M77" s="27" t="inlineStr"/>
      <c r="N77" s="31" t="n"/>
      <c r="O77" s="22">
        <f>IF(J77="","",IF(M77="Annulée",0,J77-N77))</f>
        <v/>
      </c>
      <c r="P77" s="33">
        <f>IF(J77="","",IF(M77="Annulée","-",IF(O77&lt;=0,"Oui","Non")))</f>
        <v/>
      </c>
      <c r="Q77" s="27" t="inlineStr"/>
      <c r="R77" s="33">
        <f>IF(OR(J77="",G77=""),"",IF(AND(M77&lt;&gt;"Annulée",O77&gt;0,G77&lt;TODAY()),"⚠️ Retard",""))</f>
        <v/>
      </c>
      <c r="S77" s="33">
        <f>IF(F77="","",TEXT(F77,"yyyy-mm"))</f>
        <v/>
      </c>
      <c r="T77" s="28" t="inlineStr"/>
    </row>
    <row r="78">
      <c r="A78" s="26">
        <f>IF(D78="","",ROW()-4)</f>
        <v/>
      </c>
      <c r="B78" s="27" t="inlineStr"/>
      <c r="C78" s="27" t="inlineStr"/>
      <c r="D78" s="28" t="inlineStr"/>
      <c r="E78" s="28" t="inlineStr"/>
      <c r="F78" s="29" t="n"/>
      <c r="G78" s="29" t="n"/>
      <c r="H78" s="26">
        <f>IF(AND(G78&lt;&gt;"",F78&lt;&gt;""),G78-F78,"")</f>
        <v/>
      </c>
      <c r="I78" s="30" t="n"/>
      <c r="J78" s="31" t="n"/>
      <c r="K78" s="32" t="n"/>
      <c r="L78" s="22">
        <f>IF(J78="","",J78*(1-K78))</f>
        <v/>
      </c>
      <c r="M78" s="27" t="inlineStr"/>
      <c r="N78" s="31" t="n"/>
      <c r="O78" s="22">
        <f>IF(J78="","",IF(M78="Annulée",0,J78-N78))</f>
        <v/>
      </c>
      <c r="P78" s="33">
        <f>IF(J78="","",IF(M78="Annulée","-",IF(O78&lt;=0,"Oui","Non")))</f>
        <v/>
      </c>
      <c r="Q78" s="27" t="inlineStr"/>
      <c r="R78" s="33">
        <f>IF(OR(J78="",G78=""),"",IF(AND(M78&lt;&gt;"Annulée",O78&gt;0,G78&lt;TODAY()),"⚠️ Retard",""))</f>
        <v/>
      </c>
      <c r="S78" s="33">
        <f>IF(F78="","",TEXT(F78,"yyyy-mm"))</f>
        <v/>
      </c>
      <c r="T78" s="28" t="inlineStr"/>
    </row>
    <row r="79">
      <c r="A79" s="26">
        <f>IF(D79="","",ROW()-4)</f>
        <v/>
      </c>
      <c r="B79" s="27" t="inlineStr"/>
      <c r="C79" s="27" t="inlineStr"/>
      <c r="D79" s="28" t="inlineStr"/>
      <c r="E79" s="28" t="inlineStr"/>
      <c r="F79" s="29" t="n"/>
      <c r="G79" s="29" t="n"/>
      <c r="H79" s="26">
        <f>IF(AND(G79&lt;&gt;"",F79&lt;&gt;""),G79-F79,"")</f>
        <v/>
      </c>
      <c r="I79" s="30" t="n"/>
      <c r="J79" s="31" t="n"/>
      <c r="K79" s="32" t="n"/>
      <c r="L79" s="22">
        <f>IF(J79="","",J79*(1-K79))</f>
        <v/>
      </c>
      <c r="M79" s="27" t="inlineStr"/>
      <c r="N79" s="31" t="n"/>
      <c r="O79" s="22">
        <f>IF(J79="","",IF(M79="Annulée",0,J79-N79))</f>
        <v/>
      </c>
      <c r="P79" s="33">
        <f>IF(J79="","",IF(M79="Annulée","-",IF(O79&lt;=0,"Oui","Non")))</f>
        <v/>
      </c>
      <c r="Q79" s="27" t="inlineStr"/>
      <c r="R79" s="33">
        <f>IF(OR(J79="",G79=""),"",IF(AND(M79&lt;&gt;"Annulée",O79&gt;0,G79&lt;TODAY()),"⚠️ Retard",""))</f>
        <v/>
      </c>
      <c r="S79" s="33">
        <f>IF(F79="","",TEXT(F79,"yyyy-mm"))</f>
        <v/>
      </c>
      <c r="T79" s="28" t="inlineStr"/>
    </row>
    <row r="80">
      <c r="A80" s="26">
        <f>IF(D80="","",ROW()-4)</f>
        <v/>
      </c>
      <c r="B80" s="27" t="inlineStr"/>
      <c r="C80" s="27" t="inlineStr"/>
      <c r="D80" s="28" t="inlineStr"/>
      <c r="E80" s="28" t="inlineStr"/>
      <c r="F80" s="29" t="n"/>
      <c r="G80" s="29" t="n"/>
      <c r="H80" s="26">
        <f>IF(AND(G80&lt;&gt;"",F80&lt;&gt;""),G80-F80,"")</f>
        <v/>
      </c>
      <c r="I80" s="30" t="n"/>
      <c r="J80" s="31" t="n"/>
      <c r="K80" s="32" t="n"/>
      <c r="L80" s="22">
        <f>IF(J80="","",J80*(1-K80))</f>
        <v/>
      </c>
      <c r="M80" s="27" t="inlineStr"/>
      <c r="N80" s="31" t="n"/>
      <c r="O80" s="22">
        <f>IF(J80="","",IF(M80="Annulée",0,J80-N80))</f>
        <v/>
      </c>
      <c r="P80" s="33">
        <f>IF(J80="","",IF(M80="Annulée","-",IF(O80&lt;=0,"Oui","Non")))</f>
        <v/>
      </c>
      <c r="Q80" s="27" t="inlineStr"/>
      <c r="R80" s="33">
        <f>IF(OR(J80="",G80=""),"",IF(AND(M80&lt;&gt;"Annulée",O80&gt;0,G80&lt;TODAY()),"⚠️ Retard",""))</f>
        <v/>
      </c>
      <c r="S80" s="33">
        <f>IF(F80="","",TEXT(F80,"yyyy-mm"))</f>
        <v/>
      </c>
      <c r="T80" s="28" t="inlineStr"/>
    </row>
    <row r="81">
      <c r="A81" s="26">
        <f>IF(D81="","",ROW()-4)</f>
        <v/>
      </c>
      <c r="B81" s="27" t="inlineStr"/>
      <c r="C81" s="27" t="inlineStr"/>
      <c r="D81" s="28" t="inlineStr"/>
      <c r="E81" s="28" t="inlineStr"/>
      <c r="F81" s="29" t="n"/>
      <c r="G81" s="29" t="n"/>
      <c r="H81" s="26">
        <f>IF(AND(G81&lt;&gt;"",F81&lt;&gt;""),G81-F81,"")</f>
        <v/>
      </c>
      <c r="I81" s="30" t="n"/>
      <c r="J81" s="31" t="n"/>
      <c r="K81" s="32" t="n"/>
      <c r="L81" s="22">
        <f>IF(J81="","",J81*(1-K81))</f>
        <v/>
      </c>
      <c r="M81" s="27" t="inlineStr"/>
      <c r="N81" s="31" t="n"/>
      <c r="O81" s="22">
        <f>IF(J81="","",IF(M81="Annulée",0,J81-N81))</f>
        <v/>
      </c>
      <c r="P81" s="33">
        <f>IF(J81="","",IF(M81="Annulée","-",IF(O81&lt;=0,"Oui","Non")))</f>
        <v/>
      </c>
      <c r="Q81" s="27" t="inlineStr"/>
      <c r="R81" s="33">
        <f>IF(OR(J81="",G81=""),"",IF(AND(M81&lt;&gt;"Annulée",O81&gt;0,G81&lt;TODAY()),"⚠️ Retard",""))</f>
        <v/>
      </c>
      <c r="S81" s="33">
        <f>IF(F81="","",TEXT(F81,"yyyy-mm"))</f>
        <v/>
      </c>
      <c r="T81" s="28" t="inlineStr"/>
    </row>
    <row r="82">
      <c r="A82" s="26">
        <f>IF(D82="","",ROW()-4)</f>
        <v/>
      </c>
      <c r="B82" s="27" t="inlineStr"/>
      <c r="C82" s="27" t="inlineStr"/>
      <c r="D82" s="28" t="inlineStr"/>
      <c r="E82" s="28" t="inlineStr"/>
      <c r="F82" s="29" t="n"/>
      <c r="G82" s="29" t="n"/>
      <c r="H82" s="26">
        <f>IF(AND(G82&lt;&gt;"",F82&lt;&gt;""),G82-F82,"")</f>
        <v/>
      </c>
      <c r="I82" s="30" t="n"/>
      <c r="J82" s="31" t="n"/>
      <c r="K82" s="32" t="n"/>
      <c r="L82" s="22">
        <f>IF(J82="","",J82*(1-K82))</f>
        <v/>
      </c>
      <c r="M82" s="27" t="inlineStr"/>
      <c r="N82" s="31" t="n"/>
      <c r="O82" s="22">
        <f>IF(J82="","",IF(M82="Annulée",0,J82-N82))</f>
        <v/>
      </c>
      <c r="P82" s="33">
        <f>IF(J82="","",IF(M82="Annulée","-",IF(O82&lt;=0,"Oui","Non")))</f>
        <v/>
      </c>
      <c r="Q82" s="27" t="inlineStr"/>
      <c r="R82" s="33">
        <f>IF(OR(J82="",G82=""),"",IF(AND(M82&lt;&gt;"Annulée",O82&gt;0,G82&lt;TODAY()),"⚠️ Retard",""))</f>
        <v/>
      </c>
      <c r="S82" s="33">
        <f>IF(F82="","",TEXT(F82,"yyyy-mm"))</f>
        <v/>
      </c>
      <c r="T82" s="28" t="inlineStr"/>
    </row>
    <row r="83">
      <c r="A83" s="26">
        <f>IF(D83="","",ROW()-4)</f>
        <v/>
      </c>
      <c r="B83" s="27" t="inlineStr"/>
      <c r="C83" s="27" t="inlineStr"/>
      <c r="D83" s="28" t="inlineStr"/>
      <c r="E83" s="28" t="inlineStr"/>
      <c r="F83" s="29" t="n"/>
      <c r="G83" s="29" t="n"/>
      <c r="H83" s="26">
        <f>IF(AND(G83&lt;&gt;"",F83&lt;&gt;""),G83-F83,"")</f>
        <v/>
      </c>
      <c r="I83" s="30" t="n"/>
      <c r="J83" s="31" t="n"/>
      <c r="K83" s="32" t="n"/>
      <c r="L83" s="22">
        <f>IF(J83="","",J83*(1-K83))</f>
        <v/>
      </c>
      <c r="M83" s="27" t="inlineStr"/>
      <c r="N83" s="31" t="n"/>
      <c r="O83" s="22">
        <f>IF(J83="","",IF(M83="Annulée",0,J83-N83))</f>
        <v/>
      </c>
      <c r="P83" s="33">
        <f>IF(J83="","",IF(M83="Annulée","-",IF(O83&lt;=0,"Oui","Non")))</f>
        <v/>
      </c>
      <c r="Q83" s="27" t="inlineStr"/>
      <c r="R83" s="33">
        <f>IF(OR(J83="",G83=""),"",IF(AND(M83&lt;&gt;"Annulée",O83&gt;0,G83&lt;TODAY()),"⚠️ Retard",""))</f>
        <v/>
      </c>
      <c r="S83" s="33">
        <f>IF(F83="","",TEXT(F83,"yyyy-mm"))</f>
        <v/>
      </c>
      <c r="T83" s="28" t="inlineStr"/>
    </row>
    <row r="84">
      <c r="A84" s="26">
        <f>IF(D84="","",ROW()-4)</f>
        <v/>
      </c>
      <c r="B84" s="27" t="inlineStr"/>
      <c r="C84" s="27" t="inlineStr"/>
      <c r="D84" s="28" t="inlineStr"/>
      <c r="E84" s="28" t="inlineStr"/>
      <c r="F84" s="29" t="n"/>
      <c r="G84" s="29" t="n"/>
      <c r="H84" s="26">
        <f>IF(AND(G84&lt;&gt;"",F84&lt;&gt;""),G84-F84,"")</f>
        <v/>
      </c>
      <c r="I84" s="30" t="n"/>
      <c r="J84" s="31" t="n"/>
      <c r="K84" s="32" t="n"/>
      <c r="L84" s="22">
        <f>IF(J84="","",J84*(1-K84))</f>
        <v/>
      </c>
      <c r="M84" s="27" t="inlineStr"/>
      <c r="N84" s="31" t="n"/>
      <c r="O84" s="22">
        <f>IF(J84="","",IF(M84="Annulée",0,J84-N84))</f>
        <v/>
      </c>
      <c r="P84" s="33">
        <f>IF(J84="","",IF(M84="Annulée","-",IF(O84&lt;=0,"Oui","Non")))</f>
        <v/>
      </c>
      <c r="Q84" s="27" t="inlineStr"/>
      <c r="R84" s="33">
        <f>IF(OR(J84="",G84=""),"",IF(AND(M84&lt;&gt;"Annulée",O84&gt;0,G84&lt;TODAY()),"⚠️ Retard",""))</f>
        <v/>
      </c>
      <c r="S84" s="33">
        <f>IF(F84="","",TEXT(F84,"yyyy-mm"))</f>
        <v/>
      </c>
      <c r="T84" s="28" t="inlineStr"/>
    </row>
    <row r="85">
      <c r="A85" s="26">
        <f>IF(D85="","",ROW()-4)</f>
        <v/>
      </c>
      <c r="B85" s="27" t="inlineStr"/>
      <c r="C85" s="27" t="inlineStr"/>
      <c r="D85" s="28" t="inlineStr"/>
      <c r="E85" s="28" t="inlineStr"/>
      <c r="F85" s="29" t="n"/>
      <c r="G85" s="29" t="n"/>
      <c r="H85" s="26">
        <f>IF(AND(G85&lt;&gt;"",F85&lt;&gt;""),G85-F85,"")</f>
        <v/>
      </c>
      <c r="I85" s="30" t="n"/>
      <c r="J85" s="31" t="n"/>
      <c r="K85" s="32" t="n"/>
      <c r="L85" s="22">
        <f>IF(J85="","",J85*(1-K85))</f>
        <v/>
      </c>
      <c r="M85" s="27" t="inlineStr"/>
      <c r="N85" s="31" t="n"/>
      <c r="O85" s="22">
        <f>IF(J85="","",IF(M85="Annulée",0,J85-N85))</f>
        <v/>
      </c>
      <c r="P85" s="33">
        <f>IF(J85="","",IF(M85="Annulée","-",IF(O85&lt;=0,"Oui","Non")))</f>
        <v/>
      </c>
      <c r="Q85" s="27" t="inlineStr"/>
      <c r="R85" s="33">
        <f>IF(OR(J85="",G85=""),"",IF(AND(M85&lt;&gt;"Annulée",O85&gt;0,G85&lt;TODAY()),"⚠️ Retard",""))</f>
        <v/>
      </c>
      <c r="S85" s="33">
        <f>IF(F85="","",TEXT(F85,"yyyy-mm"))</f>
        <v/>
      </c>
      <c r="T85" s="28" t="inlineStr"/>
    </row>
    <row r="86">
      <c r="A86" s="26">
        <f>IF(D86="","",ROW()-4)</f>
        <v/>
      </c>
      <c r="B86" s="27" t="inlineStr"/>
      <c r="C86" s="27" t="inlineStr"/>
      <c r="D86" s="28" t="inlineStr"/>
      <c r="E86" s="28" t="inlineStr"/>
      <c r="F86" s="29" t="n"/>
      <c r="G86" s="29" t="n"/>
      <c r="H86" s="26">
        <f>IF(AND(G86&lt;&gt;"",F86&lt;&gt;""),G86-F86,"")</f>
        <v/>
      </c>
      <c r="I86" s="30" t="n"/>
      <c r="J86" s="31" t="n"/>
      <c r="K86" s="32" t="n"/>
      <c r="L86" s="22">
        <f>IF(J86="","",J86*(1-K86))</f>
        <v/>
      </c>
      <c r="M86" s="27" t="inlineStr"/>
      <c r="N86" s="31" t="n"/>
      <c r="O86" s="22">
        <f>IF(J86="","",IF(M86="Annulée",0,J86-N86))</f>
        <v/>
      </c>
      <c r="P86" s="33">
        <f>IF(J86="","",IF(M86="Annulée","-",IF(O86&lt;=0,"Oui","Non")))</f>
        <v/>
      </c>
      <c r="Q86" s="27" t="inlineStr"/>
      <c r="R86" s="33">
        <f>IF(OR(J86="",G86=""),"",IF(AND(M86&lt;&gt;"Annulée",O86&gt;0,G86&lt;TODAY()),"⚠️ Retard",""))</f>
        <v/>
      </c>
      <c r="S86" s="33">
        <f>IF(F86="","",TEXT(F86,"yyyy-mm"))</f>
        <v/>
      </c>
      <c r="T86" s="28" t="inlineStr"/>
    </row>
    <row r="87">
      <c r="A87" s="26">
        <f>IF(D87="","",ROW()-4)</f>
        <v/>
      </c>
      <c r="B87" s="27" t="inlineStr"/>
      <c r="C87" s="27" t="inlineStr"/>
      <c r="D87" s="28" t="inlineStr"/>
      <c r="E87" s="28" t="inlineStr"/>
      <c r="F87" s="29" t="n"/>
      <c r="G87" s="29" t="n"/>
      <c r="H87" s="26">
        <f>IF(AND(G87&lt;&gt;"",F87&lt;&gt;""),G87-F87,"")</f>
        <v/>
      </c>
      <c r="I87" s="30" t="n"/>
      <c r="J87" s="31" t="n"/>
      <c r="K87" s="32" t="n"/>
      <c r="L87" s="22">
        <f>IF(J87="","",J87*(1-K87))</f>
        <v/>
      </c>
      <c r="M87" s="27" t="inlineStr"/>
      <c r="N87" s="31" t="n"/>
      <c r="O87" s="22">
        <f>IF(J87="","",IF(M87="Annulée",0,J87-N87))</f>
        <v/>
      </c>
      <c r="P87" s="33">
        <f>IF(J87="","",IF(M87="Annulée","-",IF(O87&lt;=0,"Oui","Non")))</f>
        <v/>
      </c>
      <c r="Q87" s="27" t="inlineStr"/>
      <c r="R87" s="33">
        <f>IF(OR(J87="",G87=""),"",IF(AND(M87&lt;&gt;"Annulée",O87&gt;0,G87&lt;TODAY()),"⚠️ Retard",""))</f>
        <v/>
      </c>
      <c r="S87" s="33">
        <f>IF(F87="","",TEXT(F87,"yyyy-mm"))</f>
        <v/>
      </c>
      <c r="T87" s="28" t="inlineStr"/>
    </row>
    <row r="88">
      <c r="A88" s="26">
        <f>IF(D88="","",ROW()-4)</f>
        <v/>
      </c>
      <c r="B88" s="27" t="inlineStr"/>
      <c r="C88" s="27" t="inlineStr"/>
      <c r="D88" s="28" t="inlineStr"/>
      <c r="E88" s="28" t="inlineStr"/>
      <c r="F88" s="29" t="n"/>
      <c r="G88" s="29" t="n"/>
      <c r="H88" s="26">
        <f>IF(AND(G88&lt;&gt;"",F88&lt;&gt;""),G88-F88,"")</f>
        <v/>
      </c>
      <c r="I88" s="30" t="n"/>
      <c r="J88" s="31" t="n"/>
      <c r="K88" s="32" t="n"/>
      <c r="L88" s="22">
        <f>IF(J88="","",J88*(1-K88))</f>
        <v/>
      </c>
      <c r="M88" s="27" t="inlineStr"/>
      <c r="N88" s="31" t="n"/>
      <c r="O88" s="22">
        <f>IF(J88="","",IF(M88="Annulée",0,J88-N88))</f>
        <v/>
      </c>
      <c r="P88" s="33">
        <f>IF(J88="","",IF(M88="Annulée","-",IF(O88&lt;=0,"Oui","Non")))</f>
        <v/>
      </c>
      <c r="Q88" s="27" t="inlineStr"/>
      <c r="R88" s="33">
        <f>IF(OR(J88="",G88=""),"",IF(AND(M88&lt;&gt;"Annulée",O88&gt;0,G88&lt;TODAY()),"⚠️ Retard",""))</f>
        <v/>
      </c>
      <c r="S88" s="33">
        <f>IF(F88="","",TEXT(F88,"yyyy-mm"))</f>
        <v/>
      </c>
      <c r="T88" s="28" t="inlineStr"/>
    </row>
    <row r="89">
      <c r="A89" s="26">
        <f>IF(D89="","",ROW()-4)</f>
        <v/>
      </c>
      <c r="B89" s="27" t="inlineStr"/>
      <c r="C89" s="27" t="inlineStr"/>
      <c r="D89" s="28" t="inlineStr"/>
      <c r="E89" s="28" t="inlineStr"/>
      <c r="F89" s="29" t="n"/>
      <c r="G89" s="29" t="n"/>
      <c r="H89" s="26">
        <f>IF(AND(G89&lt;&gt;"",F89&lt;&gt;""),G89-F89,"")</f>
        <v/>
      </c>
      <c r="I89" s="30" t="n"/>
      <c r="J89" s="31" t="n"/>
      <c r="K89" s="32" t="n"/>
      <c r="L89" s="22">
        <f>IF(J89="","",J89*(1-K89))</f>
        <v/>
      </c>
      <c r="M89" s="27" t="inlineStr"/>
      <c r="N89" s="31" t="n"/>
      <c r="O89" s="22">
        <f>IF(J89="","",IF(M89="Annulée",0,J89-N89))</f>
        <v/>
      </c>
      <c r="P89" s="33">
        <f>IF(J89="","",IF(M89="Annulée","-",IF(O89&lt;=0,"Oui","Non")))</f>
        <v/>
      </c>
      <c r="Q89" s="27" t="inlineStr"/>
      <c r="R89" s="33">
        <f>IF(OR(J89="",G89=""),"",IF(AND(M89&lt;&gt;"Annulée",O89&gt;0,G89&lt;TODAY()),"⚠️ Retard",""))</f>
        <v/>
      </c>
      <c r="S89" s="33">
        <f>IF(F89="","",TEXT(F89,"yyyy-mm"))</f>
        <v/>
      </c>
      <c r="T89" s="28" t="inlineStr"/>
    </row>
    <row r="90">
      <c r="A90" s="26">
        <f>IF(D90="","",ROW()-4)</f>
        <v/>
      </c>
      <c r="B90" s="27" t="inlineStr"/>
      <c r="C90" s="27" t="inlineStr"/>
      <c r="D90" s="28" t="inlineStr"/>
      <c r="E90" s="28" t="inlineStr"/>
      <c r="F90" s="29" t="n"/>
      <c r="G90" s="29" t="n"/>
      <c r="H90" s="26">
        <f>IF(AND(G90&lt;&gt;"",F90&lt;&gt;""),G90-F90,"")</f>
        <v/>
      </c>
      <c r="I90" s="30" t="n"/>
      <c r="J90" s="31" t="n"/>
      <c r="K90" s="32" t="n"/>
      <c r="L90" s="22">
        <f>IF(J90="","",J90*(1-K90))</f>
        <v/>
      </c>
      <c r="M90" s="27" t="inlineStr"/>
      <c r="N90" s="31" t="n"/>
      <c r="O90" s="22">
        <f>IF(J90="","",IF(M90="Annulée",0,J90-N90))</f>
        <v/>
      </c>
      <c r="P90" s="33">
        <f>IF(J90="","",IF(M90="Annulée","-",IF(O90&lt;=0,"Oui","Non")))</f>
        <v/>
      </c>
      <c r="Q90" s="27" t="inlineStr"/>
      <c r="R90" s="33">
        <f>IF(OR(J90="",G90=""),"",IF(AND(M90&lt;&gt;"Annulée",O90&gt;0,G90&lt;TODAY()),"⚠️ Retard",""))</f>
        <v/>
      </c>
      <c r="S90" s="33">
        <f>IF(F90="","",TEXT(F90,"yyyy-mm"))</f>
        <v/>
      </c>
      <c r="T90" s="28" t="inlineStr"/>
    </row>
    <row r="91">
      <c r="A91" s="26">
        <f>IF(D91="","",ROW()-4)</f>
        <v/>
      </c>
      <c r="B91" s="27" t="inlineStr"/>
      <c r="C91" s="27" t="inlineStr"/>
      <c r="D91" s="28" t="inlineStr"/>
      <c r="E91" s="28" t="inlineStr"/>
      <c r="F91" s="29" t="n"/>
      <c r="G91" s="29" t="n"/>
      <c r="H91" s="26">
        <f>IF(AND(G91&lt;&gt;"",F91&lt;&gt;""),G91-F91,"")</f>
        <v/>
      </c>
      <c r="I91" s="30" t="n"/>
      <c r="J91" s="31" t="n"/>
      <c r="K91" s="32" t="n"/>
      <c r="L91" s="22">
        <f>IF(J91="","",J91*(1-K91))</f>
        <v/>
      </c>
      <c r="M91" s="27" t="inlineStr"/>
      <c r="N91" s="31" t="n"/>
      <c r="O91" s="22">
        <f>IF(J91="","",IF(M91="Annulée",0,J91-N91))</f>
        <v/>
      </c>
      <c r="P91" s="33">
        <f>IF(J91="","",IF(M91="Annulée","-",IF(O91&lt;=0,"Oui","Non")))</f>
        <v/>
      </c>
      <c r="Q91" s="27" t="inlineStr"/>
      <c r="R91" s="33">
        <f>IF(OR(J91="",G91=""),"",IF(AND(M91&lt;&gt;"Annulée",O91&gt;0,G91&lt;TODAY()),"⚠️ Retard",""))</f>
        <v/>
      </c>
      <c r="S91" s="33">
        <f>IF(F91="","",TEXT(F91,"yyyy-mm"))</f>
        <v/>
      </c>
      <c r="T91" s="28" t="inlineStr"/>
    </row>
    <row r="92">
      <c r="A92" s="26">
        <f>IF(D92="","",ROW()-4)</f>
        <v/>
      </c>
      <c r="B92" s="27" t="inlineStr"/>
      <c r="C92" s="27" t="inlineStr"/>
      <c r="D92" s="28" t="inlineStr"/>
      <c r="E92" s="28" t="inlineStr"/>
      <c r="F92" s="29" t="n"/>
      <c r="G92" s="29" t="n"/>
      <c r="H92" s="26">
        <f>IF(AND(G92&lt;&gt;"",F92&lt;&gt;""),G92-F92,"")</f>
        <v/>
      </c>
      <c r="I92" s="30" t="n"/>
      <c r="J92" s="31" t="n"/>
      <c r="K92" s="32" t="n"/>
      <c r="L92" s="22">
        <f>IF(J92="","",J92*(1-K92))</f>
        <v/>
      </c>
      <c r="M92" s="27" t="inlineStr"/>
      <c r="N92" s="31" t="n"/>
      <c r="O92" s="22">
        <f>IF(J92="","",IF(M92="Annulée",0,J92-N92))</f>
        <v/>
      </c>
      <c r="P92" s="33">
        <f>IF(J92="","",IF(M92="Annulée","-",IF(O92&lt;=0,"Oui","Non")))</f>
        <v/>
      </c>
      <c r="Q92" s="27" t="inlineStr"/>
      <c r="R92" s="33">
        <f>IF(OR(J92="",G92=""),"",IF(AND(M92&lt;&gt;"Annulée",O92&gt;0,G92&lt;TODAY()),"⚠️ Retard",""))</f>
        <v/>
      </c>
      <c r="S92" s="33">
        <f>IF(F92="","",TEXT(F92,"yyyy-mm"))</f>
        <v/>
      </c>
      <c r="T92" s="28" t="inlineStr"/>
    </row>
    <row r="93">
      <c r="A93" s="26">
        <f>IF(D93="","",ROW()-4)</f>
        <v/>
      </c>
      <c r="B93" s="27" t="inlineStr"/>
      <c r="C93" s="27" t="inlineStr"/>
      <c r="D93" s="28" t="inlineStr"/>
      <c r="E93" s="28" t="inlineStr"/>
      <c r="F93" s="29" t="n"/>
      <c r="G93" s="29" t="n"/>
      <c r="H93" s="26">
        <f>IF(AND(G93&lt;&gt;"",F93&lt;&gt;""),G93-F93,"")</f>
        <v/>
      </c>
      <c r="I93" s="30" t="n"/>
      <c r="J93" s="31" t="n"/>
      <c r="K93" s="32" t="n"/>
      <c r="L93" s="22">
        <f>IF(J93="","",J93*(1-K93))</f>
        <v/>
      </c>
      <c r="M93" s="27" t="inlineStr"/>
      <c r="N93" s="31" t="n"/>
      <c r="O93" s="22">
        <f>IF(J93="","",IF(M93="Annulée",0,J93-N93))</f>
        <v/>
      </c>
      <c r="P93" s="33">
        <f>IF(J93="","",IF(M93="Annulée","-",IF(O93&lt;=0,"Oui","Non")))</f>
        <v/>
      </c>
      <c r="Q93" s="27" t="inlineStr"/>
      <c r="R93" s="33">
        <f>IF(OR(J93="",G93=""),"",IF(AND(M93&lt;&gt;"Annulée",O93&gt;0,G93&lt;TODAY()),"⚠️ Retard",""))</f>
        <v/>
      </c>
      <c r="S93" s="33">
        <f>IF(F93="","",TEXT(F93,"yyyy-mm"))</f>
        <v/>
      </c>
      <c r="T93" s="28" t="inlineStr"/>
    </row>
    <row r="94">
      <c r="A94" s="26">
        <f>IF(D94="","",ROW()-4)</f>
        <v/>
      </c>
      <c r="B94" s="27" t="inlineStr"/>
      <c r="C94" s="27" t="inlineStr"/>
      <c r="D94" s="28" t="inlineStr"/>
      <c r="E94" s="28" t="inlineStr"/>
      <c r="F94" s="29" t="n"/>
      <c r="G94" s="29" t="n"/>
      <c r="H94" s="26">
        <f>IF(AND(G94&lt;&gt;"",F94&lt;&gt;""),G94-F94,"")</f>
        <v/>
      </c>
      <c r="I94" s="30" t="n"/>
      <c r="J94" s="31" t="n"/>
      <c r="K94" s="32" t="n"/>
      <c r="L94" s="22">
        <f>IF(J94="","",J94*(1-K94))</f>
        <v/>
      </c>
      <c r="M94" s="27" t="inlineStr"/>
      <c r="N94" s="31" t="n"/>
      <c r="O94" s="22">
        <f>IF(J94="","",IF(M94="Annulée",0,J94-N94))</f>
        <v/>
      </c>
      <c r="P94" s="33">
        <f>IF(J94="","",IF(M94="Annulée","-",IF(O94&lt;=0,"Oui","Non")))</f>
        <v/>
      </c>
      <c r="Q94" s="27" t="inlineStr"/>
      <c r="R94" s="33">
        <f>IF(OR(J94="",G94=""),"",IF(AND(M94&lt;&gt;"Annulée",O94&gt;0,G94&lt;TODAY()),"⚠️ Retard",""))</f>
        <v/>
      </c>
      <c r="S94" s="33">
        <f>IF(F94="","",TEXT(F94,"yyyy-mm"))</f>
        <v/>
      </c>
      <c r="T94" s="28" t="inlineStr"/>
    </row>
    <row r="95">
      <c r="A95" s="26">
        <f>IF(D95="","",ROW()-4)</f>
        <v/>
      </c>
      <c r="B95" s="27" t="inlineStr"/>
      <c r="C95" s="27" t="inlineStr"/>
      <c r="D95" s="28" t="inlineStr"/>
      <c r="E95" s="28" t="inlineStr"/>
      <c r="F95" s="29" t="n"/>
      <c r="G95" s="29" t="n"/>
      <c r="H95" s="26">
        <f>IF(AND(G95&lt;&gt;"",F95&lt;&gt;""),G95-F95,"")</f>
        <v/>
      </c>
      <c r="I95" s="30" t="n"/>
      <c r="J95" s="31" t="n"/>
      <c r="K95" s="32" t="n"/>
      <c r="L95" s="22">
        <f>IF(J95="","",J95*(1-K95))</f>
        <v/>
      </c>
      <c r="M95" s="27" t="inlineStr"/>
      <c r="N95" s="31" t="n"/>
      <c r="O95" s="22">
        <f>IF(J95="","",IF(M95="Annulée",0,J95-N95))</f>
        <v/>
      </c>
      <c r="P95" s="33">
        <f>IF(J95="","",IF(M95="Annulée","-",IF(O95&lt;=0,"Oui","Non")))</f>
        <v/>
      </c>
      <c r="Q95" s="27" t="inlineStr"/>
      <c r="R95" s="33">
        <f>IF(OR(J95="",G95=""),"",IF(AND(M95&lt;&gt;"Annulée",O95&gt;0,G95&lt;TODAY()),"⚠️ Retard",""))</f>
        <v/>
      </c>
      <c r="S95" s="33">
        <f>IF(F95="","",TEXT(F95,"yyyy-mm"))</f>
        <v/>
      </c>
      <c r="T95" s="28" t="inlineStr"/>
    </row>
    <row r="96">
      <c r="A96" s="26">
        <f>IF(D96="","",ROW()-4)</f>
        <v/>
      </c>
      <c r="B96" s="27" t="inlineStr"/>
      <c r="C96" s="27" t="inlineStr"/>
      <c r="D96" s="28" t="inlineStr"/>
      <c r="E96" s="28" t="inlineStr"/>
      <c r="F96" s="29" t="n"/>
      <c r="G96" s="29" t="n"/>
      <c r="H96" s="26">
        <f>IF(AND(G96&lt;&gt;"",F96&lt;&gt;""),G96-F96,"")</f>
        <v/>
      </c>
      <c r="I96" s="30" t="n"/>
      <c r="J96" s="31" t="n"/>
      <c r="K96" s="32" t="n"/>
      <c r="L96" s="22">
        <f>IF(J96="","",J96*(1-K96))</f>
        <v/>
      </c>
      <c r="M96" s="27" t="inlineStr"/>
      <c r="N96" s="31" t="n"/>
      <c r="O96" s="22">
        <f>IF(J96="","",IF(M96="Annulée",0,J96-N96))</f>
        <v/>
      </c>
      <c r="P96" s="33">
        <f>IF(J96="","",IF(M96="Annulée","-",IF(O96&lt;=0,"Oui","Non")))</f>
        <v/>
      </c>
      <c r="Q96" s="27" t="inlineStr"/>
      <c r="R96" s="33">
        <f>IF(OR(J96="",G96=""),"",IF(AND(M96&lt;&gt;"Annulée",O96&gt;0,G96&lt;TODAY()),"⚠️ Retard",""))</f>
        <v/>
      </c>
      <c r="S96" s="33">
        <f>IF(F96="","",TEXT(F96,"yyyy-mm"))</f>
        <v/>
      </c>
      <c r="T96" s="28" t="inlineStr"/>
    </row>
    <row r="97">
      <c r="A97" s="26">
        <f>IF(D97="","",ROW()-4)</f>
        <v/>
      </c>
      <c r="B97" s="27" t="inlineStr"/>
      <c r="C97" s="27" t="inlineStr"/>
      <c r="D97" s="28" t="inlineStr"/>
      <c r="E97" s="28" t="inlineStr"/>
      <c r="F97" s="29" t="n"/>
      <c r="G97" s="29" t="n"/>
      <c r="H97" s="26">
        <f>IF(AND(G97&lt;&gt;"",F97&lt;&gt;""),G97-F97,"")</f>
        <v/>
      </c>
      <c r="I97" s="30" t="n"/>
      <c r="J97" s="31" t="n"/>
      <c r="K97" s="32" t="n"/>
      <c r="L97" s="22">
        <f>IF(J97="","",J97*(1-K97))</f>
        <v/>
      </c>
      <c r="M97" s="27" t="inlineStr"/>
      <c r="N97" s="31" t="n"/>
      <c r="O97" s="22">
        <f>IF(J97="","",IF(M97="Annulée",0,J97-N97))</f>
        <v/>
      </c>
      <c r="P97" s="33">
        <f>IF(J97="","",IF(M97="Annulée","-",IF(O97&lt;=0,"Oui","Non")))</f>
        <v/>
      </c>
      <c r="Q97" s="27" t="inlineStr"/>
      <c r="R97" s="33">
        <f>IF(OR(J97="",G97=""),"",IF(AND(M97&lt;&gt;"Annulée",O97&gt;0,G97&lt;TODAY()),"⚠️ Retard",""))</f>
        <v/>
      </c>
      <c r="S97" s="33">
        <f>IF(F97="","",TEXT(F97,"yyyy-mm"))</f>
        <v/>
      </c>
      <c r="T97" s="28" t="inlineStr"/>
    </row>
    <row r="98">
      <c r="A98" s="26">
        <f>IF(D98="","",ROW()-4)</f>
        <v/>
      </c>
      <c r="B98" s="27" t="inlineStr"/>
      <c r="C98" s="27" t="inlineStr"/>
      <c r="D98" s="28" t="inlineStr"/>
      <c r="E98" s="28" t="inlineStr"/>
      <c r="F98" s="29" t="n"/>
      <c r="G98" s="29" t="n"/>
      <c r="H98" s="26">
        <f>IF(AND(G98&lt;&gt;"",F98&lt;&gt;""),G98-F98,"")</f>
        <v/>
      </c>
      <c r="I98" s="30" t="n"/>
      <c r="J98" s="31" t="n"/>
      <c r="K98" s="32" t="n"/>
      <c r="L98" s="22">
        <f>IF(J98="","",J98*(1-K98))</f>
        <v/>
      </c>
      <c r="M98" s="27" t="inlineStr"/>
      <c r="N98" s="31" t="n"/>
      <c r="O98" s="22">
        <f>IF(J98="","",IF(M98="Annulée",0,J98-N98))</f>
        <v/>
      </c>
      <c r="P98" s="33">
        <f>IF(J98="","",IF(M98="Annulée","-",IF(O98&lt;=0,"Oui","Non")))</f>
        <v/>
      </c>
      <c r="Q98" s="27" t="inlineStr"/>
      <c r="R98" s="33">
        <f>IF(OR(J98="",G98=""),"",IF(AND(M98&lt;&gt;"Annulée",O98&gt;0,G98&lt;TODAY()),"⚠️ Retard",""))</f>
        <v/>
      </c>
      <c r="S98" s="33">
        <f>IF(F98="","",TEXT(F98,"yyyy-mm"))</f>
        <v/>
      </c>
      <c r="T98" s="28" t="inlineStr"/>
    </row>
    <row r="99">
      <c r="A99" s="26">
        <f>IF(D99="","",ROW()-4)</f>
        <v/>
      </c>
      <c r="B99" s="27" t="inlineStr"/>
      <c r="C99" s="27" t="inlineStr"/>
      <c r="D99" s="28" t="inlineStr"/>
      <c r="E99" s="28" t="inlineStr"/>
      <c r="F99" s="29" t="n"/>
      <c r="G99" s="29" t="n"/>
      <c r="H99" s="26">
        <f>IF(AND(G99&lt;&gt;"",F99&lt;&gt;""),G99-F99,"")</f>
        <v/>
      </c>
      <c r="I99" s="30" t="n"/>
      <c r="J99" s="31" t="n"/>
      <c r="K99" s="32" t="n"/>
      <c r="L99" s="22">
        <f>IF(J99="","",J99*(1-K99))</f>
        <v/>
      </c>
      <c r="M99" s="27" t="inlineStr"/>
      <c r="N99" s="31" t="n"/>
      <c r="O99" s="22">
        <f>IF(J99="","",IF(M99="Annulée",0,J99-N99))</f>
        <v/>
      </c>
      <c r="P99" s="33">
        <f>IF(J99="","",IF(M99="Annulée","-",IF(O99&lt;=0,"Oui","Non")))</f>
        <v/>
      </c>
      <c r="Q99" s="27" t="inlineStr"/>
      <c r="R99" s="33">
        <f>IF(OR(J99="",G99=""),"",IF(AND(M99&lt;&gt;"Annulée",O99&gt;0,G99&lt;TODAY()),"⚠️ Retard",""))</f>
        <v/>
      </c>
      <c r="S99" s="33">
        <f>IF(F99="","",TEXT(F99,"yyyy-mm"))</f>
        <v/>
      </c>
      <c r="T99" s="28" t="inlineStr"/>
    </row>
    <row r="100">
      <c r="A100" s="26">
        <f>IF(D100="","",ROW()-4)</f>
        <v/>
      </c>
      <c r="B100" s="27" t="inlineStr"/>
      <c r="C100" s="27" t="inlineStr"/>
      <c r="D100" s="28" t="inlineStr"/>
      <c r="E100" s="28" t="inlineStr"/>
      <c r="F100" s="29" t="n"/>
      <c r="G100" s="29" t="n"/>
      <c r="H100" s="26">
        <f>IF(AND(G100&lt;&gt;"",F100&lt;&gt;""),G100-F100,"")</f>
        <v/>
      </c>
      <c r="I100" s="30" t="n"/>
      <c r="J100" s="31" t="n"/>
      <c r="K100" s="32" t="n"/>
      <c r="L100" s="22">
        <f>IF(J100="","",J100*(1-K100))</f>
        <v/>
      </c>
      <c r="M100" s="27" t="inlineStr"/>
      <c r="N100" s="31" t="n"/>
      <c r="O100" s="22">
        <f>IF(J100="","",IF(M100="Annulée",0,J100-N100))</f>
        <v/>
      </c>
      <c r="P100" s="33">
        <f>IF(J100="","",IF(M100="Annulée","-",IF(O100&lt;=0,"Oui","Non")))</f>
        <v/>
      </c>
      <c r="Q100" s="27" t="inlineStr"/>
      <c r="R100" s="33">
        <f>IF(OR(J100="",G100=""),"",IF(AND(M100&lt;&gt;"Annulée",O100&gt;0,G100&lt;TODAY()),"⚠️ Retard",""))</f>
        <v/>
      </c>
      <c r="S100" s="33">
        <f>IF(F100="","",TEXT(F100,"yyyy-mm"))</f>
        <v/>
      </c>
      <c r="T100" s="28" t="inlineStr"/>
    </row>
    <row r="101">
      <c r="A101" s="26">
        <f>IF(D101="","",ROW()-4)</f>
        <v/>
      </c>
      <c r="B101" s="27" t="inlineStr"/>
      <c r="C101" s="27" t="inlineStr"/>
      <c r="D101" s="28" t="inlineStr"/>
      <c r="E101" s="28" t="inlineStr"/>
      <c r="F101" s="29" t="n"/>
      <c r="G101" s="29" t="n"/>
      <c r="H101" s="26">
        <f>IF(AND(G101&lt;&gt;"",F101&lt;&gt;""),G101-F101,"")</f>
        <v/>
      </c>
      <c r="I101" s="30" t="n"/>
      <c r="J101" s="31" t="n"/>
      <c r="K101" s="32" t="n"/>
      <c r="L101" s="22">
        <f>IF(J101="","",J101*(1-K101))</f>
        <v/>
      </c>
      <c r="M101" s="27" t="inlineStr"/>
      <c r="N101" s="31" t="n"/>
      <c r="O101" s="22">
        <f>IF(J101="","",IF(M101="Annulée",0,J101-N101))</f>
        <v/>
      </c>
      <c r="P101" s="33">
        <f>IF(J101="","",IF(M101="Annulée","-",IF(O101&lt;=0,"Oui","Non")))</f>
        <v/>
      </c>
      <c r="Q101" s="27" t="inlineStr"/>
      <c r="R101" s="33">
        <f>IF(OR(J101="",G101=""),"",IF(AND(M101&lt;&gt;"Annulée",O101&gt;0,G101&lt;TODAY()),"⚠️ Retard",""))</f>
        <v/>
      </c>
      <c r="S101" s="33">
        <f>IF(F101="","",TEXT(F101,"yyyy-mm"))</f>
        <v/>
      </c>
      <c r="T101" s="28" t="inlineStr"/>
    </row>
    <row r="102">
      <c r="A102" s="26">
        <f>IF(D102="","",ROW()-4)</f>
        <v/>
      </c>
      <c r="B102" s="27" t="inlineStr"/>
      <c r="C102" s="27" t="inlineStr"/>
      <c r="D102" s="28" t="inlineStr"/>
      <c r="E102" s="28" t="inlineStr"/>
      <c r="F102" s="29" t="n"/>
      <c r="G102" s="29" t="n"/>
      <c r="H102" s="26">
        <f>IF(AND(G102&lt;&gt;"",F102&lt;&gt;""),G102-F102,"")</f>
        <v/>
      </c>
      <c r="I102" s="30" t="n"/>
      <c r="J102" s="31" t="n"/>
      <c r="K102" s="32" t="n"/>
      <c r="L102" s="22">
        <f>IF(J102="","",J102*(1-K102))</f>
        <v/>
      </c>
      <c r="M102" s="27" t="inlineStr"/>
      <c r="N102" s="31" t="n"/>
      <c r="O102" s="22">
        <f>IF(J102="","",IF(M102="Annulée",0,J102-N102))</f>
        <v/>
      </c>
      <c r="P102" s="33">
        <f>IF(J102="","",IF(M102="Annulée","-",IF(O102&lt;=0,"Oui","Non")))</f>
        <v/>
      </c>
      <c r="Q102" s="27" t="inlineStr"/>
      <c r="R102" s="33">
        <f>IF(OR(J102="",G102=""),"",IF(AND(M102&lt;&gt;"Annulée",O102&gt;0,G102&lt;TODAY()),"⚠️ Retard",""))</f>
        <v/>
      </c>
      <c r="S102" s="33">
        <f>IF(F102="","",TEXT(F102,"yyyy-mm"))</f>
        <v/>
      </c>
      <c r="T102" s="28" t="inlineStr"/>
    </row>
    <row r="103">
      <c r="A103" s="26">
        <f>IF(D103="","",ROW()-4)</f>
        <v/>
      </c>
      <c r="B103" s="27" t="inlineStr"/>
      <c r="C103" s="27" t="inlineStr"/>
      <c r="D103" s="28" t="inlineStr"/>
      <c r="E103" s="28" t="inlineStr"/>
      <c r="F103" s="29" t="n"/>
      <c r="G103" s="29" t="n"/>
      <c r="H103" s="26">
        <f>IF(AND(G103&lt;&gt;"",F103&lt;&gt;""),G103-F103,"")</f>
        <v/>
      </c>
      <c r="I103" s="30" t="n"/>
      <c r="J103" s="31" t="n"/>
      <c r="K103" s="32" t="n"/>
      <c r="L103" s="22">
        <f>IF(J103="","",J103*(1-K103))</f>
        <v/>
      </c>
      <c r="M103" s="27" t="inlineStr"/>
      <c r="N103" s="31" t="n"/>
      <c r="O103" s="22">
        <f>IF(J103="","",IF(M103="Annulée",0,J103-N103))</f>
        <v/>
      </c>
      <c r="P103" s="33">
        <f>IF(J103="","",IF(M103="Annulée","-",IF(O103&lt;=0,"Oui","Non")))</f>
        <v/>
      </c>
      <c r="Q103" s="27" t="inlineStr"/>
      <c r="R103" s="33">
        <f>IF(OR(J103="",G103=""),"",IF(AND(M103&lt;&gt;"Annulée",O103&gt;0,G103&lt;TODAY()),"⚠️ Retard",""))</f>
        <v/>
      </c>
      <c r="S103" s="33">
        <f>IF(F103="","",TEXT(F103,"yyyy-mm"))</f>
        <v/>
      </c>
      <c r="T103" s="28" t="inlineStr"/>
    </row>
    <row r="104">
      <c r="A104" s="26">
        <f>IF(D104="","",ROW()-4)</f>
        <v/>
      </c>
      <c r="B104" s="27" t="inlineStr"/>
      <c r="C104" s="27" t="inlineStr"/>
      <c r="D104" s="28" t="inlineStr"/>
      <c r="E104" s="28" t="inlineStr"/>
      <c r="F104" s="29" t="n"/>
      <c r="G104" s="29" t="n"/>
      <c r="H104" s="26">
        <f>IF(AND(G104&lt;&gt;"",F104&lt;&gt;""),G104-F104,"")</f>
        <v/>
      </c>
      <c r="I104" s="30" t="n"/>
      <c r="J104" s="31" t="n"/>
      <c r="K104" s="32" t="n"/>
      <c r="L104" s="22">
        <f>IF(J104="","",J104*(1-K104))</f>
        <v/>
      </c>
      <c r="M104" s="27" t="inlineStr"/>
      <c r="N104" s="31" t="n"/>
      <c r="O104" s="22">
        <f>IF(J104="","",IF(M104="Annulée",0,J104-N104))</f>
        <v/>
      </c>
      <c r="P104" s="33">
        <f>IF(J104="","",IF(M104="Annulée","-",IF(O104&lt;=0,"Oui","Non")))</f>
        <v/>
      </c>
      <c r="Q104" s="27" t="inlineStr"/>
      <c r="R104" s="33">
        <f>IF(OR(J104="",G104=""),"",IF(AND(M104&lt;&gt;"Annulée",O104&gt;0,G104&lt;TODAY()),"⚠️ Retard",""))</f>
        <v/>
      </c>
      <c r="S104" s="33">
        <f>IF(F104="","",TEXT(F104,"yyyy-mm"))</f>
        <v/>
      </c>
      <c r="T104" s="28" t="inlineStr"/>
    </row>
    <row r="105">
      <c r="A105" s="26">
        <f>IF(D105="","",ROW()-4)</f>
        <v/>
      </c>
      <c r="B105" s="27" t="inlineStr"/>
      <c r="C105" s="27" t="inlineStr"/>
      <c r="D105" s="28" t="inlineStr"/>
      <c r="E105" s="28" t="inlineStr"/>
      <c r="F105" s="29" t="n"/>
      <c r="G105" s="29" t="n"/>
      <c r="H105" s="26">
        <f>IF(AND(G105&lt;&gt;"",F105&lt;&gt;""),G105-F105,"")</f>
        <v/>
      </c>
      <c r="I105" s="30" t="n"/>
      <c r="J105" s="31" t="n"/>
      <c r="K105" s="32" t="n"/>
      <c r="L105" s="22">
        <f>IF(J105="","",J105*(1-K105))</f>
        <v/>
      </c>
      <c r="M105" s="27" t="inlineStr"/>
      <c r="N105" s="31" t="n"/>
      <c r="O105" s="22">
        <f>IF(J105="","",IF(M105="Annulée",0,J105-N105))</f>
        <v/>
      </c>
      <c r="P105" s="33">
        <f>IF(J105="","",IF(M105="Annulée","-",IF(O105&lt;=0,"Oui","Non")))</f>
        <v/>
      </c>
      <c r="Q105" s="27" t="inlineStr"/>
      <c r="R105" s="33">
        <f>IF(OR(J105="",G105=""),"",IF(AND(M105&lt;&gt;"Annulée",O105&gt;0,G105&lt;TODAY()),"⚠️ Retard",""))</f>
        <v/>
      </c>
      <c r="S105" s="33">
        <f>IF(F105="","",TEXT(F105,"yyyy-mm"))</f>
        <v/>
      </c>
      <c r="T105" s="28" t="inlineStr"/>
    </row>
    <row r="106">
      <c r="A106" s="26">
        <f>IF(D106="","",ROW()-4)</f>
        <v/>
      </c>
      <c r="B106" s="27" t="inlineStr"/>
      <c r="C106" s="27" t="inlineStr"/>
      <c r="D106" s="28" t="inlineStr"/>
      <c r="E106" s="28" t="inlineStr"/>
      <c r="F106" s="29" t="n"/>
      <c r="G106" s="29" t="n"/>
      <c r="H106" s="26">
        <f>IF(AND(G106&lt;&gt;"",F106&lt;&gt;""),G106-F106,"")</f>
        <v/>
      </c>
      <c r="I106" s="30" t="n"/>
      <c r="J106" s="31" t="n"/>
      <c r="K106" s="32" t="n"/>
      <c r="L106" s="22">
        <f>IF(J106="","",J106*(1-K106))</f>
        <v/>
      </c>
      <c r="M106" s="27" t="inlineStr"/>
      <c r="N106" s="31" t="n"/>
      <c r="O106" s="22">
        <f>IF(J106="","",IF(M106="Annulée",0,J106-N106))</f>
        <v/>
      </c>
      <c r="P106" s="33">
        <f>IF(J106="","",IF(M106="Annulée","-",IF(O106&lt;=0,"Oui","Non")))</f>
        <v/>
      </c>
      <c r="Q106" s="27" t="inlineStr"/>
      <c r="R106" s="33">
        <f>IF(OR(J106="",G106=""),"",IF(AND(M106&lt;&gt;"Annulée",O106&gt;0,G106&lt;TODAY()),"⚠️ Retard",""))</f>
        <v/>
      </c>
      <c r="S106" s="33">
        <f>IF(F106="","",TEXT(F106,"yyyy-mm"))</f>
        <v/>
      </c>
      <c r="T106" s="28" t="inlineStr"/>
    </row>
    <row r="107">
      <c r="A107" s="26">
        <f>IF(D107="","",ROW()-4)</f>
        <v/>
      </c>
      <c r="B107" s="27" t="inlineStr"/>
      <c r="C107" s="27" t="inlineStr"/>
      <c r="D107" s="28" t="inlineStr"/>
      <c r="E107" s="28" t="inlineStr"/>
      <c r="F107" s="29" t="n"/>
      <c r="G107" s="29" t="n"/>
      <c r="H107" s="26">
        <f>IF(AND(G107&lt;&gt;"",F107&lt;&gt;""),G107-F107,"")</f>
        <v/>
      </c>
      <c r="I107" s="30" t="n"/>
      <c r="J107" s="31" t="n"/>
      <c r="K107" s="32" t="n"/>
      <c r="L107" s="22">
        <f>IF(J107="","",J107*(1-K107))</f>
        <v/>
      </c>
      <c r="M107" s="27" t="inlineStr"/>
      <c r="N107" s="31" t="n"/>
      <c r="O107" s="22">
        <f>IF(J107="","",IF(M107="Annulée",0,J107-N107))</f>
        <v/>
      </c>
      <c r="P107" s="33">
        <f>IF(J107="","",IF(M107="Annulée","-",IF(O107&lt;=0,"Oui","Non")))</f>
        <v/>
      </c>
      <c r="Q107" s="27" t="inlineStr"/>
      <c r="R107" s="33">
        <f>IF(OR(J107="",G107=""),"",IF(AND(M107&lt;&gt;"Annulée",O107&gt;0,G107&lt;TODAY()),"⚠️ Retard",""))</f>
        <v/>
      </c>
      <c r="S107" s="33">
        <f>IF(F107="","",TEXT(F107,"yyyy-mm"))</f>
        <v/>
      </c>
      <c r="T107" s="28" t="inlineStr"/>
    </row>
    <row r="108">
      <c r="A108" s="26">
        <f>IF(D108="","",ROW()-4)</f>
        <v/>
      </c>
      <c r="B108" s="27" t="inlineStr"/>
      <c r="C108" s="27" t="inlineStr"/>
      <c r="D108" s="28" t="inlineStr"/>
      <c r="E108" s="28" t="inlineStr"/>
      <c r="F108" s="29" t="n"/>
      <c r="G108" s="29" t="n"/>
      <c r="H108" s="26">
        <f>IF(AND(G108&lt;&gt;"",F108&lt;&gt;""),G108-F108,"")</f>
        <v/>
      </c>
      <c r="I108" s="30" t="n"/>
      <c r="J108" s="31" t="n"/>
      <c r="K108" s="32" t="n"/>
      <c r="L108" s="22">
        <f>IF(J108="","",J108*(1-K108))</f>
        <v/>
      </c>
      <c r="M108" s="27" t="inlineStr"/>
      <c r="N108" s="31" t="n"/>
      <c r="O108" s="22">
        <f>IF(J108="","",IF(M108="Annulée",0,J108-N108))</f>
        <v/>
      </c>
      <c r="P108" s="33">
        <f>IF(J108="","",IF(M108="Annulée","-",IF(O108&lt;=0,"Oui","Non")))</f>
        <v/>
      </c>
      <c r="Q108" s="27" t="inlineStr"/>
      <c r="R108" s="33">
        <f>IF(OR(J108="",G108=""),"",IF(AND(M108&lt;&gt;"Annulée",O108&gt;0,G108&lt;TODAY()),"⚠️ Retard",""))</f>
        <v/>
      </c>
      <c r="S108" s="33">
        <f>IF(F108="","",TEXT(F108,"yyyy-mm"))</f>
        <v/>
      </c>
      <c r="T108" s="28" t="inlineStr"/>
    </row>
    <row r="109">
      <c r="A109" s="26">
        <f>IF(D109="","",ROW()-4)</f>
        <v/>
      </c>
      <c r="B109" s="27" t="inlineStr"/>
      <c r="C109" s="27" t="inlineStr"/>
      <c r="D109" s="28" t="inlineStr"/>
      <c r="E109" s="28" t="inlineStr"/>
      <c r="F109" s="29" t="n"/>
      <c r="G109" s="29" t="n"/>
      <c r="H109" s="26">
        <f>IF(AND(G109&lt;&gt;"",F109&lt;&gt;""),G109-F109,"")</f>
        <v/>
      </c>
      <c r="I109" s="30" t="n"/>
      <c r="J109" s="31" t="n"/>
      <c r="K109" s="32" t="n"/>
      <c r="L109" s="22">
        <f>IF(J109="","",J109*(1-K109))</f>
        <v/>
      </c>
      <c r="M109" s="27" t="inlineStr"/>
      <c r="N109" s="31" t="n"/>
      <c r="O109" s="22">
        <f>IF(J109="","",IF(M109="Annulée",0,J109-N109))</f>
        <v/>
      </c>
      <c r="P109" s="33">
        <f>IF(J109="","",IF(M109="Annulée","-",IF(O109&lt;=0,"Oui","Non")))</f>
        <v/>
      </c>
      <c r="Q109" s="27" t="inlineStr"/>
      <c r="R109" s="33">
        <f>IF(OR(J109="",G109=""),"",IF(AND(M109&lt;&gt;"Annulée",O109&gt;0,G109&lt;TODAY()),"⚠️ Retard",""))</f>
        <v/>
      </c>
      <c r="S109" s="33">
        <f>IF(F109="","",TEXT(F109,"yyyy-mm"))</f>
        <v/>
      </c>
      <c r="T109" s="28" t="inlineStr"/>
    </row>
    <row r="110">
      <c r="A110" s="26">
        <f>IF(D110="","",ROW()-4)</f>
        <v/>
      </c>
      <c r="B110" s="27" t="inlineStr"/>
      <c r="C110" s="27" t="inlineStr"/>
      <c r="D110" s="28" t="inlineStr"/>
      <c r="E110" s="28" t="inlineStr"/>
      <c r="F110" s="29" t="n"/>
      <c r="G110" s="29" t="n"/>
      <c r="H110" s="26">
        <f>IF(AND(G110&lt;&gt;"",F110&lt;&gt;""),G110-F110,"")</f>
        <v/>
      </c>
      <c r="I110" s="30" t="n"/>
      <c r="J110" s="31" t="n"/>
      <c r="K110" s="32" t="n"/>
      <c r="L110" s="22">
        <f>IF(J110="","",J110*(1-K110))</f>
        <v/>
      </c>
      <c r="M110" s="27" t="inlineStr"/>
      <c r="N110" s="31" t="n"/>
      <c r="O110" s="22">
        <f>IF(J110="","",IF(M110="Annulée",0,J110-N110))</f>
        <v/>
      </c>
      <c r="P110" s="33">
        <f>IF(J110="","",IF(M110="Annulée","-",IF(O110&lt;=0,"Oui","Non")))</f>
        <v/>
      </c>
      <c r="Q110" s="27" t="inlineStr"/>
      <c r="R110" s="33">
        <f>IF(OR(J110="",G110=""),"",IF(AND(M110&lt;&gt;"Annulée",O110&gt;0,G110&lt;TODAY()),"⚠️ Retard",""))</f>
        <v/>
      </c>
      <c r="S110" s="33">
        <f>IF(F110="","",TEXT(F110,"yyyy-mm"))</f>
        <v/>
      </c>
      <c r="T110" s="28" t="inlineStr"/>
    </row>
    <row r="111">
      <c r="A111" s="26">
        <f>IF(D111="","",ROW()-4)</f>
        <v/>
      </c>
      <c r="B111" s="27" t="inlineStr"/>
      <c r="C111" s="27" t="inlineStr"/>
      <c r="D111" s="28" t="inlineStr"/>
      <c r="E111" s="28" t="inlineStr"/>
      <c r="F111" s="29" t="n"/>
      <c r="G111" s="29" t="n"/>
      <c r="H111" s="26">
        <f>IF(AND(G111&lt;&gt;"",F111&lt;&gt;""),G111-F111,"")</f>
        <v/>
      </c>
      <c r="I111" s="30" t="n"/>
      <c r="J111" s="31" t="n"/>
      <c r="K111" s="32" t="n"/>
      <c r="L111" s="22">
        <f>IF(J111="","",J111*(1-K111))</f>
        <v/>
      </c>
      <c r="M111" s="27" t="inlineStr"/>
      <c r="N111" s="31" t="n"/>
      <c r="O111" s="22">
        <f>IF(J111="","",IF(M111="Annulée",0,J111-N111))</f>
        <v/>
      </c>
      <c r="P111" s="33">
        <f>IF(J111="","",IF(M111="Annulée","-",IF(O111&lt;=0,"Oui","Non")))</f>
        <v/>
      </c>
      <c r="Q111" s="27" t="inlineStr"/>
      <c r="R111" s="33">
        <f>IF(OR(J111="",G111=""),"",IF(AND(M111&lt;&gt;"Annulée",O111&gt;0,G111&lt;TODAY()),"⚠️ Retard",""))</f>
        <v/>
      </c>
      <c r="S111" s="33">
        <f>IF(F111="","",TEXT(F111,"yyyy-mm"))</f>
        <v/>
      </c>
      <c r="T111" s="28" t="inlineStr"/>
    </row>
    <row r="112">
      <c r="A112" s="26">
        <f>IF(D112="","",ROW()-4)</f>
        <v/>
      </c>
      <c r="B112" s="27" t="inlineStr"/>
      <c r="C112" s="27" t="inlineStr"/>
      <c r="D112" s="28" t="inlineStr"/>
      <c r="E112" s="28" t="inlineStr"/>
      <c r="F112" s="29" t="n"/>
      <c r="G112" s="29" t="n"/>
      <c r="H112" s="26">
        <f>IF(AND(G112&lt;&gt;"",F112&lt;&gt;""),G112-F112,"")</f>
        <v/>
      </c>
      <c r="I112" s="30" t="n"/>
      <c r="J112" s="31" t="n"/>
      <c r="K112" s="32" t="n"/>
      <c r="L112" s="22">
        <f>IF(J112="","",J112*(1-K112))</f>
        <v/>
      </c>
      <c r="M112" s="27" t="inlineStr"/>
      <c r="N112" s="31" t="n"/>
      <c r="O112" s="22">
        <f>IF(J112="","",IF(M112="Annulée",0,J112-N112))</f>
        <v/>
      </c>
      <c r="P112" s="33">
        <f>IF(J112="","",IF(M112="Annulée","-",IF(O112&lt;=0,"Oui","Non")))</f>
        <v/>
      </c>
      <c r="Q112" s="27" t="inlineStr"/>
      <c r="R112" s="33">
        <f>IF(OR(J112="",G112=""),"",IF(AND(M112&lt;&gt;"Annulée",O112&gt;0,G112&lt;TODAY()),"⚠️ Retard",""))</f>
        <v/>
      </c>
      <c r="S112" s="33">
        <f>IF(F112="","",TEXT(F112,"yyyy-mm"))</f>
        <v/>
      </c>
      <c r="T112" s="28" t="inlineStr"/>
    </row>
    <row r="113">
      <c r="A113" s="26">
        <f>IF(D113="","",ROW()-4)</f>
        <v/>
      </c>
      <c r="B113" s="27" t="inlineStr"/>
      <c r="C113" s="27" t="inlineStr"/>
      <c r="D113" s="28" t="inlineStr"/>
      <c r="E113" s="28" t="inlineStr"/>
      <c r="F113" s="29" t="n"/>
      <c r="G113" s="29" t="n"/>
      <c r="H113" s="26">
        <f>IF(AND(G113&lt;&gt;"",F113&lt;&gt;""),G113-F113,"")</f>
        <v/>
      </c>
      <c r="I113" s="30" t="n"/>
      <c r="J113" s="31" t="n"/>
      <c r="K113" s="32" t="n"/>
      <c r="L113" s="22">
        <f>IF(J113="","",J113*(1-K113))</f>
        <v/>
      </c>
      <c r="M113" s="27" t="inlineStr"/>
      <c r="N113" s="31" t="n"/>
      <c r="O113" s="22">
        <f>IF(J113="","",IF(M113="Annulée",0,J113-N113))</f>
        <v/>
      </c>
      <c r="P113" s="33">
        <f>IF(J113="","",IF(M113="Annulée","-",IF(O113&lt;=0,"Oui","Non")))</f>
        <v/>
      </c>
      <c r="Q113" s="27" t="inlineStr"/>
      <c r="R113" s="33">
        <f>IF(OR(J113="",G113=""),"",IF(AND(M113&lt;&gt;"Annulée",O113&gt;0,G113&lt;TODAY()),"⚠️ Retard",""))</f>
        <v/>
      </c>
      <c r="S113" s="33">
        <f>IF(F113="","",TEXT(F113,"yyyy-mm"))</f>
        <v/>
      </c>
      <c r="T113" s="28" t="inlineStr"/>
    </row>
    <row r="114">
      <c r="A114" s="26">
        <f>IF(D114="","",ROW()-4)</f>
        <v/>
      </c>
      <c r="B114" s="27" t="inlineStr"/>
      <c r="C114" s="27" t="inlineStr"/>
      <c r="D114" s="28" t="inlineStr"/>
      <c r="E114" s="28" t="inlineStr"/>
      <c r="F114" s="29" t="n"/>
      <c r="G114" s="29" t="n"/>
      <c r="H114" s="26">
        <f>IF(AND(G114&lt;&gt;"",F114&lt;&gt;""),G114-F114,"")</f>
        <v/>
      </c>
      <c r="I114" s="30" t="n"/>
      <c r="J114" s="31" t="n"/>
      <c r="K114" s="32" t="n"/>
      <c r="L114" s="22">
        <f>IF(J114="","",J114*(1-K114))</f>
        <v/>
      </c>
      <c r="M114" s="27" t="inlineStr"/>
      <c r="N114" s="31" t="n"/>
      <c r="O114" s="22">
        <f>IF(J114="","",IF(M114="Annulée",0,J114-N114))</f>
        <v/>
      </c>
      <c r="P114" s="33">
        <f>IF(J114="","",IF(M114="Annulée","-",IF(O114&lt;=0,"Oui","Non")))</f>
        <v/>
      </c>
      <c r="Q114" s="27" t="inlineStr"/>
      <c r="R114" s="33">
        <f>IF(OR(J114="",G114=""),"",IF(AND(M114&lt;&gt;"Annulée",O114&gt;0,G114&lt;TODAY()),"⚠️ Retard",""))</f>
        <v/>
      </c>
      <c r="S114" s="33">
        <f>IF(F114="","",TEXT(F114,"yyyy-mm"))</f>
        <v/>
      </c>
      <c r="T114" s="28" t="inlineStr"/>
    </row>
    <row r="115">
      <c r="A115" s="26">
        <f>IF(D115="","",ROW()-4)</f>
        <v/>
      </c>
      <c r="B115" s="27" t="inlineStr"/>
      <c r="C115" s="27" t="inlineStr"/>
      <c r="D115" s="28" t="inlineStr"/>
      <c r="E115" s="28" t="inlineStr"/>
      <c r="F115" s="29" t="n"/>
      <c r="G115" s="29" t="n"/>
      <c r="H115" s="26">
        <f>IF(AND(G115&lt;&gt;"",F115&lt;&gt;""),G115-F115,"")</f>
        <v/>
      </c>
      <c r="I115" s="30" t="n"/>
      <c r="J115" s="31" t="n"/>
      <c r="K115" s="32" t="n"/>
      <c r="L115" s="22">
        <f>IF(J115="","",J115*(1-K115))</f>
        <v/>
      </c>
      <c r="M115" s="27" t="inlineStr"/>
      <c r="N115" s="31" t="n"/>
      <c r="O115" s="22">
        <f>IF(J115="","",IF(M115="Annulée",0,J115-N115))</f>
        <v/>
      </c>
      <c r="P115" s="33">
        <f>IF(J115="","",IF(M115="Annulée","-",IF(O115&lt;=0,"Oui","Non")))</f>
        <v/>
      </c>
      <c r="Q115" s="27" t="inlineStr"/>
      <c r="R115" s="33">
        <f>IF(OR(J115="",G115=""),"",IF(AND(M115&lt;&gt;"Annulée",O115&gt;0,G115&lt;TODAY()),"⚠️ Retard",""))</f>
        <v/>
      </c>
      <c r="S115" s="33">
        <f>IF(F115="","",TEXT(F115,"yyyy-mm"))</f>
        <v/>
      </c>
      <c r="T115" s="28" t="inlineStr"/>
    </row>
    <row r="116">
      <c r="A116" s="26">
        <f>IF(D116="","",ROW()-4)</f>
        <v/>
      </c>
      <c r="B116" s="27" t="inlineStr"/>
      <c r="C116" s="27" t="inlineStr"/>
      <c r="D116" s="28" t="inlineStr"/>
      <c r="E116" s="28" t="inlineStr"/>
      <c r="F116" s="29" t="n"/>
      <c r="G116" s="29" t="n"/>
      <c r="H116" s="26">
        <f>IF(AND(G116&lt;&gt;"",F116&lt;&gt;""),G116-F116,"")</f>
        <v/>
      </c>
      <c r="I116" s="30" t="n"/>
      <c r="J116" s="31" t="n"/>
      <c r="K116" s="32" t="n"/>
      <c r="L116" s="22">
        <f>IF(J116="","",J116*(1-K116))</f>
        <v/>
      </c>
      <c r="M116" s="27" t="inlineStr"/>
      <c r="N116" s="31" t="n"/>
      <c r="O116" s="22">
        <f>IF(J116="","",IF(M116="Annulée",0,J116-N116))</f>
        <v/>
      </c>
      <c r="P116" s="33">
        <f>IF(J116="","",IF(M116="Annulée","-",IF(O116&lt;=0,"Oui","Non")))</f>
        <v/>
      </c>
      <c r="Q116" s="27" t="inlineStr"/>
      <c r="R116" s="33">
        <f>IF(OR(J116="",G116=""),"",IF(AND(M116&lt;&gt;"Annulée",O116&gt;0,G116&lt;TODAY()),"⚠️ Retard",""))</f>
        <v/>
      </c>
      <c r="S116" s="33">
        <f>IF(F116="","",TEXT(F116,"yyyy-mm"))</f>
        <v/>
      </c>
      <c r="T116" s="28" t="inlineStr"/>
    </row>
    <row r="117">
      <c r="A117" s="26">
        <f>IF(D117="","",ROW()-4)</f>
        <v/>
      </c>
      <c r="B117" s="27" t="inlineStr"/>
      <c r="C117" s="27" t="inlineStr"/>
      <c r="D117" s="28" t="inlineStr"/>
      <c r="E117" s="28" t="inlineStr"/>
      <c r="F117" s="29" t="n"/>
      <c r="G117" s="29" t="n"/>
      <c r="H117" s="26">
        <f>IF(AND(G117&lt;&gt;"",F117&lt;&gt;""),G117-F117,"")</f>
        <v/>
      </c>
      <c r="I117" s="30" t="n"/>
      <c r="J117" s="31" t="n"/>
      <c r="K117" s="32" t="n"/>
      <c r="L117" s="22">
        <f>IF(J117="","",J117*(1-K117))</f>
        <v/>
      </c>
      <c r="M117" s="27" t="inlineStr"/>
      <c r="N117" s="31" t="n"/>
      <c r="O117" s="22">
        <f>IF(J117="","",IF(M117="Annulée",0,J117-N117))</f>
        <v/>
      </c>
      <c r="P117" s="33">
        <f>IF(J117="","",IF(M117="Annulée","-",IF(O117&lt;=0,"Oui","Non")))</f>
        <v/>
      </c>
      <c r="Q117" s="27" t="inlineStr"/>
      <c r="R117" s="33">
        <f>IF(OR(J117="",G117=""),"",IF(AND(M117&lt;&gt;"Annulée",O117&gt;0,G117&lt;TODAY()),"⚠️ Retard",""))</f>
        <v/>
      </c>
      <c r="S117" s="33">
        <f>IF(F117="","",TEXT(F117,"yyyy-mm"))</f>
        <v/>
      </c>
      <c r="T117" s="28" t="inlineStr"/>
    </row>
    <row r="118">
      <c r="A118" s="26">
        <f>IF(D118="","",ROW()-4)</f>
        <v/>
      </c>
      <c r="B118" s="27" t="inlineStr"/>
      <c r="C118" s="27" t="inlineStr"/>
      <c r="D118" s="28" t="inlineStr"/>
      <c r="E118" s="28" t="inlineStr"/>
      <c r="F118" s="29" t="n"/>
      <c r="G118" s="29" t="n"/>
      <c r="H118" s="26">
        <f>IF(AND(G118&lt;&gt;"",F118&lt;&gt;""),G118-F118,"")</f>
        <v/>
      </c>
      <c r="I118" s="30" t="n"/>
      <c r="J118" s="31" t="n"/>
      <c r="K118" s="32" t="n"/>
      <c r="L118" s="22">
        <f>IF(J118="","",J118*(1-K118))</f>
        <v/>
      </c>
      <c r="M118" s="27" t="inlineStr"/>
      <c r="N118" s="31" t="n"/>
      <c r="O118" s="22">
        <f>IF(J118="","",IF(M118="Annulée",0,J118-N118))</f>
        <v/>
      </c>
      <c r="P118" s="33">
        <f>IF(J118="","",IF(M118="Annulée","-",IF(O118&lt;=0,"Oui","Non")))</f>
        <v/>
      </c>
      <c r="Q118" s="27" t="inlineStr"/>
      <c r="R118" s="33">
        <f>IF(OR(J118="",G118=""),"",IF(AND(M118&lt;&gt;"Annulée",O118&gt;0,G118&lt;TODAY()),"⚠️ Retard",""))</f>
        <v/>
      </c>
      <c r="S118" s="33">
        <f>IF(F118="","",TEXT(F118,"yyyy-mm"))</f>
        <v/>
      </c>
      <c r="T118" s="28" t="inlineStr"/>
    </row>
    <row r="119">
      <c r="A119" s="26">
        <f>IF(D119="","",ROW()-4)</f>
        <v/>
      </c>
      <c r="B119" s="27" t="inlineStr"/>
      <c r="C119" s="27" t="inlineStr"/>
      <c r="D119" s="28" t="inlineStr"/>
      <c r="E119" s="28" t="inlineStr"/>
      <c r="F119" s="29" t="n"/>
      <c r="G119" s="29" t="n"/>
      <c r="H119" s="26">
        <f>IF(AND(G119&lt;&gt;"",F119&lt;&gt;""),G119-F119,"")</f>
        <v/>
      </c>
      <c r="I119" s="30" t="n"/>
      <c r="J119" s="31" t="n"/>
      <c r="K119" s="32" t="n"/>
      <c r="L119" s="22">
        <f>IF(J119="","",J119*(1-K119))</f>
        <v/>
      </c>
      <c r="M119" s="27" t="inlineStr"/>
      <c r="N119" s="31" t="n"/>
      <c r="O119" s="22">
        <f>IF(J119="","",IF(M119="Annulée",0,J119-N119))</f>
        <v/>
      </c>
      <c r="P119" s="33">
        <f>IF(J119="","",IF(M119="Annulée","-",IF(O119&lt;=0,"Oui","Non")))</f>
        <v/>
      </c>
      <c r="Q119" s="27" t="inlineStr"/>
      <c r="R119" s="33">
        <f>IF(OR(J119="",G119=""),"",IF(AND(M119&lt;&gt;"Annulée",O119&gt;0,G119&lt;TODAY()),"⚠️ Retard",""))</f>
        <v/>
      </c>
      <c r="S119" s="33">
        <f>IF(F119="","",TEXT(F119,"yyyy-mm"))</f>
        <v/>
      </c>
      <c r="T119" s="28" t="inlineStr"/>
    </row>
    <row r="120">
      <c r="A120" s="26">
        <f>IF(D120="","",ROW()-4)</f>
        <v/>
      </c>
      <c r="B120" s="27" t="inlineStr"/>
      <c r="C120" s="27" t="inlineStr"/>
      <c r="D120" s="28" t="inlineStr"/>
      <c r="E120" s="28" t="inlineStr"/>
      <c r="F120" s="29" t="n"/>
      <c r="G120" s="29" t="n"/>
      <c r="H120" s="26">
        <f>IF(AND(G120&lt;&gt;"",F120&lt;&gt;""),G120-F120,"")</f>
        <v/>
      </c>
      <c r="I120" s="30" t="n"/>
      <c r="J120" s="31" t="n"/>
      <c r="K120" s="32" t="n"/>
      <c r="L120" s="22">
        <f>IF(J120="","",J120*(1-K120))</f>
        <v/>
      </c>
      <c r="M120" s="27" t="inlineStr"/>
      <c r="N120" s="31" t="n"/>
      <c r="O120" s="22">
        <f>IF(J120="","",IF(M120="Annulée",0,J120-N120))</f>
        <v/>
      </c>
      <c r="P120" s="33">
        <f>IF(J120="","",IF(M120="Annulée","-",IF(O120&lt;=0,"Oui","Non")))</f>
        <v/>
      </c>
      <c r="Q120" s="27" t="inlineStr"/>
      <c r="R120" s="33">
        <f>IF(OR(J120="",G120=""),"",IF(AND(M120&lt;&gt;"Annulée",O120&gt;0,G120&lt;TODAY()),"⚠️ Retard",""))</f>
        <v/>
      </c>
      <c r="S120" s="33">
        <f>IF(F120="","",TEXT(F120,"yyyy-mm"))</f>
        <v/>
      </c>
      <c r="T120" s="28" t="inlineStr"/>
    </row>
    <row r="121">
      <c r="A121" s="26">
        <f>IF(D121="","",ROW()-4)</f>
        <v/>
      </c>
      <c r="B121" s="27" t="inlineStr"/>
      <c r="C121" s="27" t="inlineStr"/>
      <c r="D121" s="28" t="inlineStr"/>
      <c r="E121" s="28" t="inlineStr"/>
      <c r="F121" s="29" t="n"/>
      <c r="G121" s="29" t="n"/>
      <c r="H121" s="26">
        <f>IF(AND(G121&lt;&gt;"",F121&lt;&gt;""),G121-F121,"")</f>
        <v/>
      </c>
      <c r="I121" s="30" t="n"/>
      <c r="J121" s="31" t="n"/>
      <c r="K121" s="32" t="n"/>
      <c r="L121" s="22">
        <f>IF(J121="","",J121*(1-K121))</f>
        <v/>
      </c>
      <c r="M121" s="27" t="inlineStr"/>
      <c r="N121" s="31" t="n"/>
      <c r="O121" s="22">
        <f>IF(J121="","",IF(M121="Annulée",0,J121-N121))</f>
        <v/>
      </c>
      <c r="P121" s="33">
        <f>IF(J121="","",IF(M121="Annulée","-",IF(O121&lt;=0,"Oui","Non")))</f>
        <v/>
      </c>
      <c r="Q121" s="27" t="inlineStr"/>
      <c r="R121" s="33">
        <f>IF(OR(J121="",G121=""),"",IF(AND(M121&lt;&gt;"Annulée",O121&gt;0,G121&lt;TODAY()),"⚠️ Retard",""))</f>
        <v/>
      </c>
      <c r="S121" s="33">
        <f>IF(F121="","",TEXT(F121,"yyyy-mm"))</f>
        <v/>
      </c>
      <c r="T121" s="28" t="inlineStr"/>
    </row>
    <row r="122">
      <c r="A122" s="26">
        <f>IF(D122="","",ROW()-4)</f>
        <v/>
      </c>
      <c r="B122" s="27" t="inlineStr"/>
      <c r="C122" s="27" t="inlineStr"/>
      <c r="D122" s="28" t="inlineStr"/>
      <c r="E122" s="28" t="inlineStr"/>
      <c r="F122" s="29" t="n"/>
      <c r="G122" s="29" t="n"/>
      <c r="H122" s="26">
        <f>IF(AND(G122&lt;&gt;"",F122&lt;&gt;""),G122-F122,"")</f>
        <v/>
      </c>
      <c r="I122" s="30" t="n"/>
      <c r="J122" s="31" t="n"/>
      <c r="K122" s="32" t="n"/>
      <c r="L122" s="22">
        <f>IF(J122="","",J122*(1-K122))</f>
        <v/>
      </c>
      <c r="M122" s="27" t="inlineStr"/>
      <c r="N122" s="31" t="n"/>
      <c r="O122" s="22">
        <f>IF(J122="","",IF(M122="Annulée",0,J122-N122))</f>
        <v/>
      </c>
      <c r="P122" s="33">
        <f>IF(J122="","",IF(M122="Annulée","-",IF(O122&lt;=0,"Oui","Non")))</f>
        <v/>
      </c>
      <c r="Q122" s="27" t="inlineStr"/>
      <c r="R122" s="33">
        <f>IF(OR(J122="",G122=""),"",IF(AND(M122&lt;&gt;"Annulée",O122&gt;0,G122&lt;TODAY()),"⚠️ Retard",""))</f>
        <v/>
      </c>
      <c r="S122" s="33">
        <f>IF(F122="","",TEXT(F122,"yyyy-mm"))</f>
        <v/>
      </c>
      <c r="T122" s="28" t="inlineStr"/>
    </row>
    <row r="123">
      <c r="A123" s="26">
        <f>IF(D123="","",ROW()-4)</f>
        <v/>
      </c>
      <c r="B123" s="27" t="inlineStr"/>
      <c r="C123" s="27" t="inlineStr"/>
      <c r="D123" s="28" t="inlineStr"/>
      <c r="E123" s="28" t="inlineStr"/>
      <c r="F123" s="29" t="n"/>
      <c r="G123" s="29" t="n"/>
      <c r="H123" s="26">
        <f>IF(AND(G123&lt;&gt;"",F123&lt;&gt;""),G123-F123,"")</f>
        <v/>
      </c>
      <c r="I123" s="30" t="n"/>
      <c r="J123" s="31" t="n"/>
      <c r="K123" s="32" t="n"/>
      <c r="L123" s="22">
        <f>IF(J123="","",J123*(1-K123))</f>
        <v/>
      </c>
      <c r="M123" s="27" t="inlineStr"/>
      <c r="N123" s="31" t="n"/>
      <c r="O123" s="22">
        <f>IF(J123="","",IF(M123="Annulée",0,J123-N123))</f>
        <v/>
      </c>
      <c r="P123" s="33">
        <f>IF(J123="","",IF(M123="Annulée","-",IF(O123&lt;=0,"Oui","Non")))</f>
        <v/>
      </c>
      <c r="Q123" s="27" t="inlineStr"/>
      <c r="R123" s="33">
        <f>IF(OR(J123="",G123=""),"",IF(AND(M123&lt;&gt;"Annulée",O123&gt;0,G123&lt;TODAY()),"⚠️ Retard",""))</f>
        <v/>
      </c>
      <c r="S123" s="33">
        <f>IF(F123="","",TEXT(F123,"yyyy-mm"))</f>
        <v/>
      </c>
      <c r="T123" s="28" t="inlineStr"/>
    </row>
    <row r="124">
      <c r="A124" s="26">
        <f>IF(D124="","",ROW()-4)</f>
        <v/>
      </c>
      <c r="B124" s="27" t="inlineStr"/>
      <c r="C124" s="27" t="inlineStr"/>
      <c r="D124" s="28" t="inlineStr"/>
      <c r="E124" s="28" t="inlineStr"/>
      <c r="F124" s="29" t="n"/>
      <c r="G124" s="29" t="n"/>
      <c r="H124" s="26">
        <f>IF(AND(G124&lt;&gt;"",F124&lt;&gt;""),G124-F124,"")</f>
        <v/>
      </c>
      <c r="I124" s="30" t="n"/>
      <c r="J124" s="31" t="n"/>
      <c r="K124" s="32" t="n"/>
      <c r="L124" s="22">
        <f>IF(J124="","",J124*(1-K124))</f>
        <v/>
      </c>
      <c r="M124" s="27" t="inlineStr"/>
      <c r="N124" s="31" t="n"/>
      <c r="O124" s="22">
        <f>IF(J124="","",IF(M124="Annulée",0,J124-N124))</f>
        <v/>
      </c>
      <c r="P124" s="33">
        <f>IF(J124="","",IF(M124="Annulée","-",IF(O124&lt;=0,"Oui","Non")))</f>
        <v/>
      </c>
      <c r="Q124" s="27" t="inlineStr"/>
      <c r="R124" s="33">
        <f>IF(OR(J124="",G124=""),"",IF(AND(M124&lt;&gt;"Annulée",O124&gt;0,G124&lt;TODAY()),"⚠️ Retard",""))</f>
        <v/>
      </c>
      <c r="S124" s="33">
        <f>IF(F124="","",TEXT(F124,"yyyy-mm"))</f>
        <v/>
      </c>
      <c r="T124" s="28" t="inlineStr"/>
    </row>
    <row r="125">
      <c r="A125" s="26">
        <f>IF(D125="","",ROW()-4)</f>
        <v/>
      </c>
      <c r="B125" s="27" t="inlineStr"/>
      <c r="C125" s="27" t="inlineStr"/>
      <c r="D125" s="28" t="inlineStr"/>
      <c r="E125" s="28" t="inlineStr"/>
      <c r="F125" s="29" t="n"/>
      <c r="G125" s="29" t="n"/>
      <c r="H125" s="26">
        <f>IF(AND(G125&lt;&gt;"",F125&lt;&gt;""),G125-F125,"")</f>
        <v/>
      </c>
      <c r="I125" s="30" t="n"/>
      <c r="J125" s="31" t="n"/>
      <c r="K125" s="32" t="n"/>
      <c r="L125" s="22">
        <f>IF(J125="","",J125*(1-K125))</f>
        <v/>
      </c>
      <c r="M125" s="27" t="inlineStr"/>
      <c r="N125" s="31" t="n"/>
      <c r="O125" s="22">
        <f>IF(J125="","",IF(M125="Annulée",0,J125-N125))</f>
        <v/>
      </c>
      <c r="P125" s="33">
        <f>IF(J125="","",IF(M125="Annulée","-",IF(O125&lt;=0,"Oui","Non")))</f>
        <v/>
      </c>
      <c r="Q125" s="27" t="inlineStr"/>
      <c r="R125" s="33">
        <f>IF(OR(J125="",G125=""),"",IF(AND(M125&lt;&gt;"Annulée",O125&gt;0,G125&lt;TODAY()),"⚠️ Retard",""))</f>
        <v/>
      </c>
      <c r="S125" s="33">
        <f>IF(F125="","",TEXT(F125,"yyyy-mm"))</f>
        <v/>
      </c>
      <c r="T125" s="28" t="inlineStr"/>
    </row>
    <row r="126">
      <c r="A126" s="26">
        <f>IF(D126="","",ROW()-4)</f>
        <v/>
      </c>
      <c r="B126" s="27" t="inlineStr"/>
      <c r="C126" s="27" t="inlineStr"/>
      <c r="D126" s="28" t="inlineStr"/>
      <c r="E126" s="28" t="inlineStr"/>
      <c r="F126" s="29" t="n"/>
      <c r="G126" s="29" t="n"/>
      <c r="H126" s="26">
        <f>IF(AND(G126&lt;&gt;"",F126&lt;&gt;""),G126-F126,"")</f>
        <v/>
      </c>
      <c r="I126" s="30" t="n"/>
      <c r="J126" s="31" t="n"/>
      <c r="K126" s="32" t="n"/>
      <c r="L126" s="22">
        <f>IF(J126="","",J126*(1-K126))</f>
        <v/>
      </c>
      <c r="M126" s="27" t="inlineStr"/>
      <c r="N126" s="31" t="n"/>
      <c r="O126" s="22">
        <f>IF(J126="","",IF(M126="Annulée",0,J126-N126))</f>
        <v/>
      </c>
      <c r="P126" s="33">
        <f>IF(J126="","",IF(M126="Annulée","-",IF(O126&lt;=0,"Oui","Non")))</f>
        <v/>
      </c>
      <c r="Q126" s="27" t="inlineStr"/>
      <c r="R126" s="33">
        <f>IF(OR(J126="",G126=""),"",IF(AND(M126&lt;&gt;"Annulée",O126&gt;0,G126&lt;TODAY()),"⚠️ Retard",""))</f>
        <v/>
      </c>
      <c r="S126" s="33">
        <f>IF(F126="","",TEXT(F126,"yyyy-mm"))</f>
        <v/>
      </c>
      <c r="T126" s="28" t="inlineStr"/>
    </row>
    <row r="127">
      <c r="A127" s="26">
        <f>IF(D127="","",ROW()-4)</f>
        <v/>
      </c>
      <c r="B127" s="27" t="inlineStr"/>
      <c r="C127" s="27" t="inlineStr"/>
      <c r="D127" s="28" t="inlineStr"/>
      <c r="E127" s="28" t="inlineStr"/>
      <c r="F127" s="29" t="n"/>
      <c r="G127" s="29" t="n"/>
      <c r="H127" s="26">
        <f>IF(AND(G127&lt;&gt;"",F127&lt;&gt;""),G127-F127,"")</f>
        <v/>
      </c>
      <c r="I127" s="30" t="n"/>
      <c r="J127" s="31" t="n"/>
      <c r="K127" s="32" t="n"/>
      <c r="L127" s="22">
        <f>IF(J127="","",J127*(1-K127))</f>
        <v/>
      </c>
      <c r="M127" s="27" t="inlineStr"/>
      <c r="N127" s="31" t="n"/>
      <c r="O127" s="22">
        <f>IF(J127="","",IF(M127="Annulée",0,J127-N127))</f>
        <v/>
      </c>
      <c r="P127" s="33">
        <f>IF(J127="","",IF(M127="Annulée","-",IF(O127&lt;=0,"Oui","Non")))</f>
        <v/>
      </c>
      <c r="Q127" s="27" t="inlineStr"/>
      <c r="R127" s="33">
        <f>IF(OR(J127="",G127=""),"",IF(AND(M127&lt;&gt;"Annulée",O127&gt;0,G127&lt;TODAY()),"⚠️ Retard",""))</f>
        <v/>
      </c>
      <c r="S127" s="33">
        <f>IF(F127="","",TEXT(F127,"yyyy-mm"))</f>
        <v/>
      </c>
      <c r="T127" s="28" t="inlineStr"/>
    </row>
    <row r="128">
      <c r="A128" s="26">
        <f>IF(D128="","",ROW()-4)</f>
        <v/>
      </c>
      <c r="B128" s="27" t="inlineStr"/>
      <c r="C128" s="27" t="inlineStr"/>
      <c r="D128" s="28" t="inlineStr"/>
      <c r="E128" s="28" t="inlineStr"/>
      <c r="F128" s="29" t="n"/>
      <c r="G128" s="29" t="n"/>
      <c r="H128" s="26">
        <f>IF(AND(G128&lt;&gt;"",F128&lt;&gt;""),G128-F128,"")</f>
        <v/>
      </c>
      <c r="I128" s="30" t="n"/>
      <c r="J128" s="31" t="n"/>
      <c r="K128" s="32" t="n"/>
      <c r="L128" s="22">
        <f>IF(J128="","",J128*(1-K128))</f>
        <v/>
      </c>
      <c r="M128" s="27" t="inlineStr"/>
      <c r="N128" s="31" t="n"/>
      <c r="O128" s="22">
        <f>IF(J128="","",IF(M128="Annulée",0,J128-N128))</f>
        <v/>
      </c>
      <c r="P128" s="33">
        <f>IF(J128="","",IF(M128="Annulée","-",IF(O128&lt;=0,"Oui","Non")))</f>
        <v/>
      </c>
      <c r="Q128" s="27" t="inlineStr"/>
      <c r="R128" s="33">
        <f>IF(OR(J128="",G128=""),"",IF(AND(M128&lt;&gt;"Annulée",O128&gt;0,G128&lt;TODAY()),"⚠️ Retard",""))</f>
        <v/>
      </c>
      <c r="S128" s="33">
        <f>IF(F128="","",TEXT(F128,"yyyy-mm"))</f>
        <v/>
      </c>
      <c r="T128" s="28" t="inlineStr"/>
    </row>
    <row r="129">
      <c r="A129" s="26">
        <f>IF(D129="","",ROW()-4)</f>
        <v/>
      </c>
      <c r="B129" s="27" t="inlineStr"/>
      <c r="C129" s="27" t="inlineStr"/>
      <c r="D129" s="28" t="inlineStr"/>
      <c r="E129" s="28" t="inlineStr"/>
      <c r="F129" s="29" t="n"/>
      <c r="G129" s="29" t="n"/>
      <c r="H129" s="26">
        <f>IF(AND(G129&lt;&gt;"",F129&lt;&gt;""),G129-F129,"")</f>
        <v/>
      </c>
      <c r="I129" s="30" t="n"/>
      <c r="J129" s="31" t="n"/>
      <c r="K129" s="32" t="n"/>
      <c r="L129" s="22">
        <f>IF(J129="","",J129*(1-K129))</f>
        <v/>
      </c>
      <c r="M129" s="27" t="inlineStr"/>
      <c r="N129" s="31" t="n"/>
      <c r="O129" s="22">
        <f>IF(J129="","",IF(M129="Annulée",0,J129-N129))</f>
        <v/>
      </c>
      <c r="P129" s="33">
        <f>IF(J129="","",IF(M129="Annulée","-",IF(O129&lt;=0,"Oui","Non")))</f>
        <v/>
      </c>
      <c r="Q129" s="27" t="inlineStr"/>
      <c r="R129" s="33">
        <f>IF(OR(J129="",G129=""),"",IF(AND(M129&lt;&gt;"Annulée",O129&gt;0,G129&lt;TODAY()),"⚠️ Retard",""))</f>
        <v/>
      </c>
      <c r="S129" s="33">
        <f>IF(F129="","",TEXT(F129,"yyyy-mm"))</f>
        <v/>
      </c>
      <c r="T129" s="28" t="inlineStr"/>
    </row>
    <row r="130">
      <c r="A130" s="26">
        <f>IF(D130="","",ROW()-4)</f>
        <v/>
      </c>
      <c r="B130" s="27" t="inlineStr"/>
      <c r="C130" s="27" t="inlineStr"/>
      <c r="D130" s="28" t="inlineStr"/>
      <c r="E130" s="28" t="inlineStr"/>
      <c r="F130" s="29" t="n"/>
      <c r="G130" s="29" t="n"/>
      <c r="H130" s="26">
        <f>IF(AND(G130&lt;&gt;"",F130&lt;&gt;""),G130-F130,"")</f>
        <v/>
      </c>
      <c r="I130" s="30" t="n"/>
      <c r="J130" s="31" t="n"/>
      <c r="K130" s="32" t="n"/>
      <c r="L130" s="22">
        <f>IF(J130="","",J130*(1-K130))</f>
        <v/>
      </c>
      <c r="M130" s="27" t="inlineStr"/>
      <c r="N130" s="31" t="n"/>
      <c r="O130" s="22">
        <f>IF(J130="","",IF(M130="Annulée",0,J130-N130))</f>
        <v/>
      </c>
      <c r="P130" s="33">
        <f>IF(J130="","",IF(M130="Annulée","-",IF(O130&lt;=0,"Oui","Non")))</f>
        <v/>
      </c>
      <c r="Q130" s="27" t="inlineStr"/>
      <c r="R130" s="33">
        <f>IF(OR(J130="",G130=""),"",IF(AND(M130&lt;&gt;"Annulée",O130&gt;0,G130&lt;TODAY()),"⚠️ Retard",""))</f>
        <v/>
      </c>
      <c r="S130" s="33">
        <f>IF(F130="","",TEXT(F130,"yyyy-mm"))</f>
        <v/>
      </c>
      <c r="T130" s="28" t="inlineStr"/>
    </row>
    <row r="131">
      <c r="A131" s="26">
        <f>IF(D131="","",ROW()-4)</f>
        <v/>
      </c>
      <c r="B131" s="27" t="inlineStr"/>
      <c r="C131" s="27" t="inlineStr"/>
      <c r="D131" s="28" t="inlineStr"/>
      <c r="E131" s="28" t="inlineStr"/>
      <c r="F131" s="29" t="n"/>
      <c r="G131" s="29" t="n"/>
      <c r="H131" s="26">
        <f>IF(AND(G131&lt;&gt;"",F131&lt;&gt;""),G131-F131,"")</f>
        <v/>
      </c>
      <c r="I131" s="30" t="n"/>
      <c r="J131" s="31" t="n"/>
      <c r="K131" s="32" t="n"/>
      <c r="L131" s="22">
        <f>IF(J131="","",J131*(1-K131))</f>
        <v/>
      </c>
      <c r="M131" s="27" t="inlineStr"/>
      <c r="N131" s="31" t="n"/>
      <c r="O131" s="22">
        <f>IF(J131="","",IF(M131="Annulée",0,J131-N131))</f>
        <v/>
      </c>
      <c r="P131" s="33">
        <f>IF(J131="","",IF(M131="Annulée","-",IF(O131&lt;=0,"Oui","Non")))</f>
        <v/>
      </c>
      <c r="Q131" s="27" t="inlineStr"/>
      <c r="R131" s="33">
        <f>IF(OR(J131="",G131=""),"",IF(AND(M131&lt;&gt;"Annulée",O131&gt;0,G131&lt;TODAY()),"⚠️ Retard",""))</f>
        <v/>
      </c>
      <c r="S131" s="33">
        <f>IF(F131="","",TEXT(F131,"yyyy-mm"))</f>
        <v/>
      </c>
      <c r="T131" s="28" t="inlineStr"/>
    </row>
    <row r="132">
      <c r="A132" s="26">
        <f>IF(D132="","",ROW()-4)</f>
        <v/>
      </c>
      <c r="B132" s="27" t="inlineStr"/>
      <c r="C132" s="27" t="inlineStr"/>
      <c r="D132" s="28" t="inlineStr"/>
      <c r="E132" s="28" t="inlineStr"/>
      <c r="F132" s="29" t="n"/>
      <c r="G132" s="29" t="n"/>
      <c r="H132" s="26">
        <f>IF(AND(G132&lt;&gt;"",F132&lt;&gt;""),G132-F132,"")</f>
        <v/>
      </c>
      <c r="I132" s="30" t="n"/>
      <c r="J132" s="31" t="n"/>
      <c r="K132" s="32" t="n"/>
      <c r="L132" s="22">
        <f>IF(J132="","",J132*(1-K132))</f>
        <v/>
      </c>
      <c r="M132" s="27" t="inlineStr"/>
      <c r="N132" s="31" t="n"/>
      <c r="O132" s="22">
        <f>IF(J132="","",IF(M132="Annulée",0,J132-N132))</f>
        <v/>
      </c>
      <c r="P132" s="33">
        <f>IF(J132="","",IF(M132="Annulée","-",IF(O132&lt;=0,"Oui","Non")))</f>
        <v/>
      </c>
      <c r="Q132" s="27" t="inlineStr"/>
      <c r="R132" s="33">
        <f>IF(OR(J132="",G132=""),"",IF(AND(M132&lt;&gt;"Annulée",O132&gt;0,G132&lt;TODAY()),"⚠️ Retard",""))</f>
        <v/>
      </c>
      <c r="S132" s="33">
        <f>IF(F132="","",TEXT(F132,"yyyy-mm"))</f>
        <v/>
      </c>
      <c r="T132" s="28" t="inlineStr"/>
    </row>
    <row r="133">
      <c r="A133" s="26">
        <f>IF(D133="","",ROW()-4)</f>
        <v/>
      </c>
      <c r="B133" s="27" t="inlineStr"/>
      <c r="C133" s="27" t="inlineStr"/>
      <c r="D133" s="28" t="inlineStr"/>
      <c r="E133" s="28" t="inlineStr"/>
      <c r="F133" s="29" t="n"/>
      <c r="G133" s="29" t="n"/>
      <c r="H133" s="26">
        <f>IF(AND(G133&lt;&gt;"",F133&lt;&gt;""),G133-F133,"")</f>
        <v/>
      </c>
      <c r="I133" s="30" t="n"/>
      <c r="J133" s="31" t="n"/>
      <c r="K133" s="32" t="n"/>
      <c r="L133" s="22">
        <f>IF(J133="","",J133*(1-K133))</f>
        <v/>
      </c>
      <c r="M133" s="27" t="inlineStr"/>
      <c r="N133" s="31" t="n"/>
      <c r="O133" s="22">
        <f>IF(J133="","",IF(M133="Annulée",0,J133-N133))</f>
        <v/>
      </c>
      <c r="P133" s="33">
        <f>IF(J133="","",IF(M133="Annulée","-",IF(O133&lt;=0,"Oui","Non")))</f>
        <v/>
      </c>
      <c r="Q133" s="27" t="inlineStr"/>
      <c r="R133" s="33">
        <f>IF(OR(J133="",G133=""),"",IF(AND(M133&lt;&gt;"Annulée",O133&gt;0,G133&lt;TODAY()),"⚠️ Retard",""))</f>
        <v/>
      </c>
      <c r="S133" s="33">
        <f>IF(F133="","",TEXT(F133,"yyyy-mm"))</f>
        <v/>
      </c>
      <c r="T133" s="28" t="inlineStr"/>
    </row>
    <row r="134">
      <c r="A134" s="26">
        <f>IF(D134="","",ROW()-4)</f>
        <v/>
      </c>
      <c r="B134" s="27" t="inlineStr"/>
      <c r="C134" s="27" t="inlineStr"/>
      <c r="D134" s="28" t="inlineStr"/>
      <c r="E134" s="28" t="inlineStr"/>
      <c r="F134" s="29" t="n"/>
      <c r="G134" s="29" t="n"/>
      <c r="H134" s="26">
        <f>IF(AND(G134&lt;&gt;"",F134&lt;&gt;""),G134-F134,"")</f>
        <v/>
      </c>
      <c r="I134" s="30" t="n"/>
      <c r="J134" s="31" t="n"/>
      <c r="K134" s="32" t="n"/>
      <c r="L134" s="22">
        <f>IF(J134="","",J134*(1-K134))</f>
        <v/>
      </c>
      <c r="M134" s="27" t="inlineStr"/>
      <c r="N134" s="31" t="n"/>
      <c r="O134" s="22">
        <f>IF(J134="","",IF(M134="Annulée",0,J134-N134))</f>
        <v/>
      </c>
      <c r="P134" s="33">
        <f>IF(J134="","",IF(M134="Annulée","-",IF(O134&lt;=0,"Oui","Non")))</f>
        <v/>
      </c>
      <c r="Q134" s="27" t="inlineStr"/>
      <c r="R134" s="33">
        <f>IF(OR(J134="",G134=""),"",IF(AND(M134&lt;&gt;"Annulée",O134&gt;0,G134&lt;TODAY()),"⚠️ Retard",""))</f>
        <v/>
      </c>
      <c r="S134" s="33">
        <f>IF(F134="","",TEXT(F134,"yyyy-mm"))</f>
        <v/>
      </c>
      <c r="T134" s="28" t="inlineStr"/>
    </row>
    <row r="135">
      <c r="A135" s="26">
        <f>IF(D135="","",ROW()-4)</f>
        <v/>
      </c>
      <c r="B135" s="27" t="inlineStr"/>
      <c r="C135" s="27" t="inlineStr"/>
      <c r="D135" s="28" t="inlineStr"/>
      <c r="E135" s="28" t="inlineStr"/>
      <c r="F135" s="29" t="n"/>
      <c r="G135" s="29" t="n"/>
      <c r="H135" s="26">
        <f>IF(AND(G135&lt;&gt;"",F135&lt;&gt;""),G135-F135,"")</f>
        <v/>
      </c>
      <c r="I135" s="30" t="n"/>
      <c r="J135" s="31" t="n"/>
      <c r="K135" s="32" t="n"/>
      <c r="L135" s="22">
        <f>IF(J135="","",J135*(1-K135))</f>
        <v/>
      </c>
      <c r="M135" s="27" t="inlineStr"/>
      <c r="N135" s="31" t="n"/>
      <c r="O135" s="22">
        <f>IF(J135="","",IF(M135="Annulée",0,J135-N135))</f>
        <v/>
      </c>
      <c r="P135" s="33">
        <f>IF(J135="","",IF(M135="Annulée","-",IF(O135&lt;=0,"Oui","Non")))</f>
        <v/>
      </c>
      <c r="Q135" s="27" t="inlineStr"/>
      <c r="R135" s="33">
        <f>IF(OR(J135="",G135=""),"",IF(AND(M135&lt;&gt;"Annulée",O135&gt;0,G135&lt;TODAY()),"⚠️ Retard",""))</f>
        <v/>
      </c>
      <c r="S135" s="33">
        <f>IF(F135="","",TEXT(F135,"yyyy-mm"))</f>
        <v/>
      </c>
      <c r="T135" s="28" t="inlineStr"/>
    </row>
    <row r="136">
      <c r="A136" s="26">
        <f>IF(D136="","",ROW()-4)</f>
        <v/>
      </c>
      <c r="B136" s="27" t="inlineStr"/>
      <c r="C136" s="27" t="inlineStr"/>
      <c r="D136" s="28" t="inlineStr"/>
      <c r="E136" s="28" t="inlineStr"/>
      <c r="F136" s="29" t="n"/>
      <c r="G136" s="29" t="n"/>
      <c r="H136" s="26">
        <f>IF(AND(G136&lt;&gt;"",F136&lt;&gt;""),G136-F136,"")</f>
        <v/>
      </c>
      <c r="I136" s="30" t="n"/>
      <c r="J136" s="31" t="n"/>
      <c r="K136" s="32" t="n"/>
      <c r="L136" s="22">
        <f>IF(J136="","",J136*(1-K136))</f>
        <v/>
      </c>
      <c r="M136" s="27" t="inlineStr"/>
      <c r="N136" s="31" t="n"/>
      <c r="O136" s="22">
        <f>IF(J136="","",IF(M136="Annulée",0,J136-N136))</f>
        <v/>
      </c>
      <c r="P136" s="33">
        <f>IF(J136="","",IF(M136="Annulée","-",IF(O136&lt;=0,"Oui","Non")))</f>
        <v/>
      </c>
      <c r="Q136" s="27" t="inlineStr"/>
      <c r="R136" s="33">
        <f>IF(OR(J136="",G136=""),"",IF(AND(M136&lt;&gt;"Annulée",O136&gt;0,G136&lt;TODAY()),"⚠️ Retard",""))</f>
        <v/>
      </c>
      <c r="S136" s="33">
        <f>IF(F136="","",TEXT(F136,"yyyy-mm"))</f>
        <v/>
      </c>
      <c r="T136" s="28" t="inlineStr"/>
    </row>
    <row r="137">
      <c r="A137" s="26">
        <f>IF(D137="","",ROW()-4)</f>
        <v/>
      </c>
      <c r="B137" s="27" t="inlineStr"/>
      <c r="C137" s="27" t="inlineStr"/>
      <c r="D137" s="28" t="inlineStr"/>
      <c r="E137" s="28" t="inlineStr"/>
      <c r="F137" s="29" t="n"/>
      <c r="G137" s="29" t="n"/>
      <c r="H137" s="26">
        <f>IF(AND(G137&lt;&gt;"",F137&lt;&gt;""),G137-F137,"")</f>
        <v/>
      </c>
      <c r="I137" s="30" t="n"/>
      <c r="J137" s="31" t="n"/>
      <c r="K137" s="32" t="n"/>
      <c r="L137" s="22">
        <f>IF(J137="","",J137*(1-K137))</f>
        <v/>
      </c>
      <c r="M137" s="27" t="inlineStr"/>
      <c r="N137" s="31" t="n"/>
      <c r="O137" s="22">
        <f>IF(J137="","",IF(M137="Annulée",0,J137-N137))</f>
        <v/>
      </c>
      <c r="P137" s="33">
        <f>IF(J137="","",IF(M137="Annulée","-",IF(O137&lt;=0,"Oui","Non")))</f>
        <v/>
      </c>
      <c r="Q137" s="27" t="inlineStr"/>
      <c r="R137" s="33">
        <f>IF(OR(J137="",G137=""),"",IF(AND(M137&lt;&gt;"Annulée",O137&gt;0,G137&lt;TODAY()),"⚠️ Retard",""))</f>
        <v/>
      </c>
      <c r="S137" s="33">
        <f>IF(F137="","",TEXT(F137,"yyyy-mm"))</f>
        <v/>
      </c>
      <c r="T137" s="28" t="inlineStr"/>
    </row>
    <row r="138">
      <c r="A138" s="26">
        <f>IF(D138="","",ROW()-4)</f>
        <v/>
      </c>
      <c r="B138" s="27" t="inlineStr"/>
      <c r="C138" s="27" t="inlineStr"/>
      <c r="D138" s="28" t="inlineStr"/>
      <c r="E138" s="28" t="inlineStr"/>
      <c r="F138" s="29" t="n"/>
      <c r="G138" s="29" t="n"/>
      <c r="H138" s="26">
        <f>IF(AND(G138&lt;&gt;"",F138&lt;&gt;""),G138-F138,"")</f>
        <v/>
      </c>
      <c r="I138" s="30" t="n"/>
      <c r="J138" s="31" t="n"/>
      <c r="K138" s="32" t="n"/>
      <c r="L138" s="22">
        <f>IF(J138="","",J138*(1-K138))</f>
        <v/>
      </c>
      <c r="M138" s="27" t="inlineStr"/>
      <c r="N138" s="31" t="n"/>
      <c r="O138" s="22">
        <f>IF(J138="","",IF(M138="Annulée",0,J138-N138))</f>
        <v/>
      </c>
      <c r="P138" s="33">
        <f>IF(J138="","",IF(M138="Annulée","-",IF(O138&lt;=0,"Oui","Non")))</f>
        <v/>
      </c>
      <c r="Q138" s="27" t="inlineStr"/>
      <c r="R138" s="33">
        <f>IF(OR(J138="",G138=""),"",IF(AND(M138&lt;&gt;"Annulée",O138&gt;0,G138&lt;TODAY()),"⚠️ Retard",""))</f>
        <v/>
      </c>
      <c r="S138" s="33">
        <f>IF(F138="","",TEXT(F138,"yyyy-mm"))</f>
        <v/>
      </c>
      <c r="T138" s="28" t="inlineStr"/>
    </row>
    <row r="139">
      <c r="A139" s="26">
        <f>IF(D139="","",ROW()-4)</f>
        <v/>
      </c>
      <c r="B139" s="27" t="inlineStr"/>
      <c r="C139" s="27" t="inlineStr"/>
      <c r="D139" s="28" t="inlineStr"/>
      <c r="E139" s="28" t="inlineStr"/>
      <c r="F139" s="29" t="n"/>
      <c r="G139" s="29" t="n"/>
      <c r="H139" s="26">
        <f>IF(AND(G139&lt;&gt;"",F139&lt;&gt;""),G139-F139,"")</f>
        <v/>
      </c>
      <c r="I139" s="30" t="n"/>
      <c r="J139" s="31" t="n"/>
      <c r="K139" s="32" t="n"/>
      <c r="L139" s="22">
        <f>IF(J139="","",J139*(1-K139))</f>
        <v/>
      </c>
      <c r="M139" s="27" t="inlineStr"/>
      <c r="N139" s="31" t="n"/>
      <c r="O139" s="22">
        <f>IF(J139="","",IF(M139="Annulée",0,J139-N139))</f>
        <v/>
      </c>
      <c r="P139" s="33">
        <f>IF(J139="","",IF(M139="Annulée","-",IF(O139&lt;=0,"Oui","Non")))</f>
        <v/>
      </c>
      <c r="Q139" s="27" t="inlineStr"/>
      <c r="R139" s="33">
        <f>IF(OR(J139="",G139=""),"",IF(AND(M139&lt;&gt;"Annulée",O139&gt;0,G139&lt;TODAY()),"⚠️ Retard",""))</f>
        <v/>
      </c>
      <c r="S139" s="33">
        <f>IF(F139="","",TEXT(F139,"yyyy-mm"))</f>
        <v/>
      </c>
      <c r="T139" s="28" t="inlineStr"/>
    </row>
    <row r="140">
      <c r="A140" s="26">
        <f>IF(D140="","",ROW()-4)</f>
        <v/>
      </c>
      <c r="B140" s="27" t="inlineStr"/>
      <c r="C140" s="27" t="inlineStr"/>
      <c r="D140" s="28" t="inlineStr"/>
      <c r="E140" s="28" t="inlineStr"/>
      <c r="F140" s="29" t="n"/>
      <c r="G140" s="29" t="n"/>
      <c r="H140" s="26">
        <f>IF(AND(G140&lt;&gt;"",F140&lt;&gt;""),G140-F140,"")</f>
        <v/>
      </c>
      <c r="I140" s="30" t="n"/>
      <c r="J140" s="31" t="n"/>
      <c r="K140" s="32" t="n"/>
      <c r="L140" s="22">
        <f>IF(J140="","",J140*(1-K140))</f>
        <v/>
      </c>
      <c r="M140" s="27" t="inlineStr"/>
      <c r="N140" s="31" t="n"/>
      <c r="O140" s="22">
        <f>IF(J140="","",IF(M140="Annulée",0,J140-N140))</f>
        <v/>
      </c>
      <c r="P140" s="33">
        <f>IF(J140="","",IF(M140="Annulée","-",IF(O140&lt;=0,"Oui","Non")))</f>
        <v/>
      </c>
      <c r="Q140" s="27" t="inlineStr"/>
      <c r="R140" s="33">
        <f>IF(OR(J140="",G140=""),"",IF(AND(M140&lt;&gt;"Annulée",O140&gt;0,G140&lt;TODAY()),"⚠️ Retard",""))</f>
        <v/>
      </c>
      <c r="S140" s="33">
        <f>IF(F140="","",TEXT(F140,"yyyy-mm"))</f>
        <v/>
      </c>
      <c r="T140" s="28" t="inlineStr"/>
    </row>
    <row r="141">
      <c r="A141" s="26">
        <f>IF(D141="","",ROW()-4)</f>
        <v/>
      </c>
      <c r="B141" s="27" t="inlineStr"/>
      <c r="C141" s="27" t="inlineStr"/>
      <c r="D141" s="28" t="inlineStr"/>
      <c r="E141" s="28" t="inlineStr"/>
      <c r="F141" s="29" t="n"/>
      <c r="G141" s="29" t="n"/>
      <c r="H141" s="26">
        <f>IF(AND(G141&lt;&gt;"",F141&lt;&gt;""),G141-F141,"")</f>
        <v/>
      </c>
      <c r="I141" s="30" t="n"/>
      <c r="J141" s="31" t="n"/>
      <c r="K141" s="32" t="n"/>
      <c r="L141" s="22">
        <f>IF(J141="","",J141*(1-K141))</f>
        <v/>
      </c>
      <c r="M141" s="27" t="inlineStr"/>
      <c r="N141" s="31" t="n"/>
      <c r="O141" s="22">
        <f>IF(J141="","",IF(M141="Annulée",0,J141-N141))</f>
        <v/>
      </c>
      <c r="P141" s="33">
        <f>IF(J141="","",IF(M141="Annulée","-",IF(O141&lt;=0,"Oui","Non")))</f>
        <v/>
      </c>
      <c r="Q141" s="27" t="inlineStr"/>
      <c r="R141" s="33">
        <f>IF(OR(J141="",G141=""),"",IF(AND(M141&lt;&gt;"Annulée",O141&gt;0,G141&lt;TODAY()),"⚠️ Retard",""))</f>
        <v/>
      </c>
      <c r="S141" s="33">
        <f>IF(F141="","",TEXT(F141,"yyyy-mm"))</f>
        <v/>
      </c>
      <c r="T141" s="28" t="inlineStr"/>
    </row>
    <row r="142">
      <c r="A142" s="26">
        <f>IF(D142="","",ROW()-4)</f>
        <v/>
      </c>
      <c r="B142" s="27" t="inlineStr"/>
      <c r="C142" s="27" t="inlineStr"/>
      <c r="D142" s="28" t="inlineStr"/>
      <c r="E142" s="28" t="inlineStr"/>
      <c r="F142" s="29" t="n"/>
      <c r="G142" s="29" t="n"/>
      <c r="H142" s="26">
        <f>IF(AND(G142&lt;&gt;"",F142&lt;&gt;""),G142-F142,"")</f>
        <v/>
      </c>
      <c r="I142" s="30" t="n"/>
      <c r="J142" s="31" t="n"/>
      <c r="K142" s="32" t="n"/>
      <c r="L142" s="22">
        <f>IF(J142="","",J142*(1-K142))</f>
        <v/>
      </c>
      <c r="M142" s="27" t="inlineStr"/>
      <c r="N142" s="31" t="n"/>
      <c r="O142" s="22">
        <f>IF(J142="","",IF(M142="Annulée",0,J142-N142))</f>
        <v/>
      </c>
      <c r="P142" s="33">
        <f>IF(J142="","",IF(M142="Annulée","-",IF(O142&lt;=0,"Oui","Non")))</f>
        <v/>
      </c>
      <c r="Q142" s="27" t="inlineStr"/>
      <c r="R142" s="33">
        <f>IF(OR(J142="",G142=""),"",IF(AND(M142&lt;&gt;"Annulée",O142&gt;0,G142&lt;TODAY()),"⚠️ Retard",""))</f>
        <v/>
      </c>
      <c r="S142" s="33">
        <f>IF(F142="","",TEXT(F142,"yyyy-mm"))</f>
        <v/>
      </c>
      <c r="T142" s="28" t="inlineStr"/>
    </row>
    <row r="143">
      <c r="A143" s="26">
        <f>IF(D143="","",ROW()-4)</f>
        <v/>
      </c>
      <c r="B143" s="27" t="inlineStr"/>
      <c r="C143" s="27" t="inlineStr"/>
      <c r="D143" s="28" t="inlineStr"/>
      <c r="E143" s="28" t="inlineStr"/>
      <c r="F143" s="29" t="n"/>
      <c r="G143" s="29" t="n"/>
      <c r="H143" s="26">
        <f>IF(AND(G143&lt;&gt;"",F143&lt;&gt;""),G143-F143,"")</f>
        <v/>
      </c>
      <c r="I143" s="30" t="n"/>
      <c r="J143" s="31" t="n"/>
      <c r="K143" s="32" t="n"/>
      <c r="L143" s="22">
        <f>IF(J143="","",J143*(1-K143))</f>
        <v/>
      </c>
      <c r="M143" s="27" t="inlineStr"/>
      <c r="N143" s="31" t="n"/>
      <c r="O143" s="22">
        <f>IF(J143="","",IF(M143="Annulée",0,J143-N143))</f>
        <v/>
      </c>
      <c r="P143" s="33">
        <f>IF(J143="","",IF(M143="Annulée","-",IF(O143&lt;=0,"Oui","Non")))</f>
        <v/>
      </c>
      <c r="Q143" s="27" t="inlineStr"/>
      <c r="R143" s="33">
        <f>IF(OR(J143="",G143=""),"",IF(AND(M143&lt;&gt;"Annulée",O143&gt;0,G143&lt;TODAY()),"⚠️ Retard",""))</f>
        <v/>
      </c>
      <c r="S143" s="33">
        <f>IF(F143="","",TEXT(F143,"yyyy-mm"))</f>
        <v/>
      </c>
      <c r="T143" s="28" t="inlineStr"/>
    </row>
    <row r="144">
      <c r="A144" s="26">
        <f>IF(D144="","",ROW()-4)</f>
        <v/>
      </c>
      <c r="B144" s="27" t="inlineStr"/>
      <c r="C144" s="27" t="inlineStr"/>
      <c r="D144" s="28" t="inlineStr"/>
      <c r="E144" s="28" t="inlineStr"/>
      <c r="F144" s="29" t="n"/>
      <c r="G144" s="29" t="n"/>
      <c r="H144" s="26">
        <f>IF(AND(G144&lt;&gt;"",F144&lt;&gt;""),G144-F144,"")</f>
        <v/>
      </c>
      <c r="I144" s="30" t="n"/>
      <c r="J144" s="31" t="n"/>
      <c r="K144" s="32" t="n"/>
      <c r="L144" s="22">
        <f>IF(J144="","",J144*(1-K144))</f>
        <v/>
      </c>
      <c r="M144" s="27" t="inlineStr"/>
      <c r="N144" s="31" t="n"/>
      <c r="O144" s="22">
        <f>IF(J144="","",IF(M144="Annulée",0,J144-N144))</f>
        <v/>
      </c>
      <c r="P144" s="33">
        <f>IF(J144="","",IF(M144="Annulée","-",IF(O144&lt;=0,"Oui","Non")))</f>
        <v/>
      </c>
      <c r="Q144" s="27" t="inlineStr"/>
      <c r="R144" s="33">
        <f>IF(OR(J144="",G144=""),"",IF(AND(M144&lt;&gt;"Annulée",O144&gt;0,G144&lt;TODAY()),"⚠️ Retard",""))</f>
        <v/>
      </c>
      <c r="S144" s="33">
        <f>IF(F144="","",TEXT(F144,"yyyy-mm"))</f>
        <v/>
      </c>
      <c r="T144" s="28" t="inlineStr"/>
    </row>
    <row r="145">
      <c r="A145" s="26">
        <f>IF(D145="","",ROW()-4)</f>
        <v/>
      </c>
      <c r="B145" s="27" t="inlineStr"/>
      <c r="C145" s="27" t="inlineStr"/>
      <c r="D145" s="28" t="inlineStr"/>
      <c r="E145" s="28" t="inlineStr"/>
      <c r="F145" s="29" t="n"/>
      <c r="G145" s="29" t="n"/>
      <c r="H145" s="26">
        <f>IF(AND(G145&lt;&gt;"",F145&lt;&gt;""),G145-F145,"")</f>
        <v/>
      </c>
      <c r="I145" s="30" t="n"/>
      <c r="J145" s="31" t="n"/>
      <c r="K145" s="32" t="n"/>
      <c r="L145" s="22">
        <f>IF(J145="","",J145*(1-K145))</f>
        <v/>
      </c>
      <c r="M145" s="27" t="inlineStr"/>
      <c r="N145" s="31" t="n"/>
      <c r="O145" s="22">
        <f>IF(J145="","",IF(M145="Annulée",0,J145-N145))</f>
        <v/>
      </c>
      <c r="P145" s="33">
        <f>IF(J145="","",IF(M145="Annulée","-",IF(O145&lt;=0,"Oui","Non")))</f>
        <v/>
      </c>
      <c r="Q145" s="27" t="inlineStr"/>
      <c r="R145" s="33">
        <f>IF(OR(J145="",G145=""),"",IF(AND(M145&lt;&gt;"Annulée",O145&gt;0,G145&lt;TODAY()),"⚠️ Retard",""))</f>
        <v/>
      </c>
      <c r="S145" s="33">
        <f>IF(F145="","",TEXT(F145,"yyyy-mm"))</f>
        <v/>
      </c>
      <c r="T145" s="28" t="inlineStr"/>
    </row>
    <row r="146">
      <c r="A146" s="26">
        <f>IF(D146="","",ROW()-4)</f>
        <v/>
      </c>
      <c r="B146" s="27" t="inlineStr"/>
      <c r="C146" s="27" t="inlineStr"/>
      <c r="D146" s="28" t="inlineStr"/>
      <c r="E146" s="28" t="inlineStr"/>
      <c r="F146" s="29" t="n"/>
      <c r="G146" s="29" t="n"/>
      <c r="H146" s="26">
        <f>IF(AND(G146&lt;&gt;"",F146&lt;&gt;""),G146-F146,"")</f>
        <v/>
      </c>
      <c r="I146" s="30" t="n"/>
      <c r="J146" s="31" t="n"/>
      <c r="K146" s="32" t="n"/>
      <c r="L146" s="22">
        <f>IF(J146="","",J146*(1-K146))</f>
        <v/>
      </c>
      <c r="M146" s="27" t="inlineStr"/>
      <c r="N146" s="31" t="n"/>
      <c r="O146" s="22">
        <f>IF(J146="","",IF(M146="Annulée",0,J146-N146))</f>
        <v/>
      </c>
      <c r="P146" s="33">
        <f>IF(J146="","",IF(M146="Annulée","-",IF(O146&lt;=0,"Oui","Non")))</f>
        <v/>
      </c>
      <c r="Q146" s="27" t="inlineStr"/>
      <c r="R146" s="33">
        <f>IF(OR(J146="",G146=""),"",IF(AND(M146&lt;&gt;"Annulée",O146&gt;0,G146&lt;TODAY()),"⚠️ Retard",""))</f>
        <v/>
      </c>
      <c r="S146" s="33">
        <f>IF(F146="","",TEXT(F146,"yyyy-mm"))</f>
        <v/>
      </c>
      <c r="T146" s="28" t="inlineStr"/>
    </row>
    <row r="147">
      <c r="A147" s="26">
        <f>IF(D147="","",ROW()-4)</f>
        <v/>
      </c>
      <c r="B147" s="27" t="inlineStr"/>
      <c r="C147" s="27" t="inlineStr"/>
      <c r="D147" s="28" t="inlineStr"/>
      <c r="E147" s="28" t="inlineStr"/>
      <c r="F147" s="29" t="n"/>
      <c r="G147" s="29" t="n"/>
      <c r="H147" s="26">
        <f>IF(AND(G147&lt;&gt;"",F147&lt;&gt;""),G147-F147,"")</f>
        <v/>
      </c>
      <c r="I147" s="30" t="n"/>
      <c r="J147" s="31" t="n"/>
      <c r="K147" s="32" t="n"/>
      <c r="L147" s="22">
        <f>IF(J147="","",J147*(1-K147))</f>
        <v/>
      </c>
      <c r="M147" s="27" t="inlineStr"/>
      <c r="N147" s="31" t="n"/>
      <c r="O147" s="22">
        <f>IF(J147="","",IF(M147="Annulée",0,J147-N147))</f>
        <v/>
      </c>
      <c r="P147" s="33">
        <f>IF(J147="","",IF(M147="Annulée","-",IF(O147&lt;=0,"Oui","Non")))</f>
        <v/>
      </c>
      <c r="Q147" s="27" t="inlineStr"/>
      <c r="R147" s="33">
        <f>IF(OR(J147="",G147=""),"",IF(AND(M147&lt;&gt;"Annulée",O147&gt;0,G147&lt;TODAY()),"⚠️ Retard",""))</f>
        <v/>
      </c>
      <c r="S147" s="33">
        <f>IF(F147="","",TEXT(F147,"yyyy-mm"))</f>
        <v/>
      </c>
      <c r="T147" s="28" t="inlineStr"/>
    </row>
    <row r="148">
      <c r="A148" s="26">
        <f>IF(D148="","",ROW()-4)</f>
        <v/>
      </c>
      <c r="B148" s="27" t="inlineStr"/>
      <c r="C148" s="27" t="inlineStr"/>
      <c r="D148" s="28" t="inlineStr"/>
      <c r="E148" s="28" t="inlineStr"/>
      <c r="F148" s="29" t="n"/>
      <c r="G148" s="29" t="n"/>
      <c r="H148" s="26">
        <f>IF(AND(G148&lt;&gt;"",F148&lt;&gt;""),G148-F148,"")</f>
        <v/>
      </c>
      <c r="I148" s="30" t="n"/>
      <c r="J148" s="31" t="n"/>
      <c r="K148" s="32" t="n"/>
      <c r="L148" s="22">
        <f>IF(J148="","",J148*(1-K148))</f>
        <v/>
      </c>
      <c r="M148" s="27" t="inlineStr"/>
      <c r="N148" s="31" t="n"/>
      <c r="O148" s="22">
        <f>IF(J148="","",IF(M148="Annulée",0,J148-N148))</f>
        <v/>
      </c>
      <c r="P148" s="33">
        <f>IF(J148="","",IF(M148="Annulée","-",IF(O148&lt;=0,"Oui","Non")))</f>
        <v/>
      </c>
      <c r="Q148" s="27" t="inlineStr"/>
      <c r="R148" s="33">
        <f>IF(OR(J148="",G148=""),"",IF(AND(M148&lt;&gt;"Annulée",O148&gt;0,G148&lt;TODAY()),"⚠️ Retard",""))</f>
        <v/>
      </c>
      <c r="S148" s="33">
        <f>IF(F148="","",TEXT(F148,"yyyy-mm"))</f>
        <v/>
      </c>
      <c r="T148" s="28" t="inlineStr"/>
    </row>
    <row r="149">
      <c r="A149" s="26">
        <f>IF(D149="","",ROW()-4)</f>
        <v/>
      </c>
      <c r="B149" s="27" t="inlineStr"/>
      <c r="C149" s="27" t="inlineStr"/>
      <c r="D149" s="28" t="inlineStr"/>
      <c r="E149" s="28" t="inlineStr"/>
      <c r="F149" s="29" t="n"/>
      <c r="G149" s="29" t="n"/>
      <c r="H149" s="26">
        <f>IF(AND(G149&lt;&gt;"",F149&lt;&gt;""),G149-F149,"")</f>
        <v/>
      </c>
      <c r="I149" s="30" t="n"/>
      <c r="J149" s="31" t="n"/>
      <c r="K149" s="32" t="n"/>
      <c r="L149" s="22">
        <f>IF(J149="","",J149*(1-K149))</f>
        <v/>
      </c>
      <c r="M149" s="27" t="inlineStr"/>
      <c r="N149" s="31" t="n"/>
      <c r="O149" s="22">
        <f>IF(J149="","",IF(M149="Annulée",0,J149-N149))</f>
        <v/>
      </c>
      <c r="P149" s="33">
        <f>IF(J149="","",IF(M149="Annulée","-",IF(O149&lt;=0,"Oui","Non")))</f>
        <v/>
      </c>
      <c r="Q149" s="27" t="inlineStr"/>
      <c r="R149" s="33">
        <f>IF(OR(J149="",G149=""),"",IF(AND(M149&lt;&gt;"Annulée",O149&gt;0,G149&lt;TODAY()),"⚠️ Retard",""))</f>
        <v/>
      </c>
      <c r="S149" s="33">
        <f>IF(F149="","",TEXT(F149,"yyyy-mm"))</f>
        <v/>
      </c>
      <c r="T149" s="28" t="inlineStr"/>
    </row>
    <row r="150">
      <c r="A150" s="26">
        <f>IF(D150="","",ROW()-4)</f>
        <v/>
      </c>
      <c r="B150" s="27" t="inlineStr"/>
      <c r="C150" s="27" t="inlineStr"/>
      <c r="D150" s="28" t="inlineStr"/>
      <c r="E150" s="28" t="inlineStr"/>
      <c r="F150" s="29" t="n"/>
      <c r="G150" s="29" t="n"/>
      <c r="H150" s="26">
        <f>IF(AND(G150&lt;&gt;"",F150&lt;&gt;""),G150-F150,"")</f>
        <v/>
      </c>
      <c r="I150" s="30" t="n"/>
      <c r="J150" s="31" t="n"/>
      <c r="K150" s="32" t="n"/>
      <c r="L150" s="22">
        <f>IF(J150="","",J150*(1-K150))</f>
        <v/>
      </c>
      <c r="M150" s="27" t="inlineStr"/>
      <c r="N150" s="31" t="n"/>
      <c r="O150" s="22">
        <f>IF(J150="","",IF(M150="Annulée",0,J150-N150))</f>
        <v/>
      </c>
      <c r="P150" s="33">
        <f>IF(J150="","",IF(M150="Annulée","-",IF(O150&lt;=0,"Oui","Non")))</f>
        <v/>
      </c>
      <c r="Q150" s="27" t="inlineStr"/>
      <c r="R150" s="33">
        <f>IF(OR(J150="",G150=""),"",IF(AND(M150&lt;&gt;"Annulée",O150&gt;0,G150&lt;TODAY()),"⚠️ Retard",""))</f>
        <v/>
      </c>
      <c r="S150" s="33">
        <f>IF(F150="","",TEXT(F150,"yyyy-mm"))</f>
        <v/>
      </c>
      <c r="T150" s="28" t="inlineStr"/>
    </row>
    <row r="151">
      <c r="A151" s="26">
        <f>IF(D151="","",ROW()-4)</f>
        <v/>
      </c>
      <c r="B151" s="27" t="inlineStr"/>
      <c r="C151" s="27" t="inlineStr"/>
      <c r="D151" s="28" t="inlineStr"/>
      <c r="E151" s="28" t="inlineStr"/>
      <c r="F151" s="29" t="n"/>
      <c r="G151" s="29" t="n"/>
      <c r="H151" s="26">
        <f>IF(AND(G151&lt;&gt;"",F151&lt;&gt;""),G151-F151,"")</f>
        <v/>
      </c>
      <c r="I151" s="30" t="n"/>
      <c r="J151" s="31" t="n"/>
      <c r="K151" s="32" t="n"/>
      <c r="L151" s="22">
        <f>IF(J151="","",J151*(1-K151))</f>
        <v/>
      </c>
      <c r="M151" s="27" t="inlineStr"/>
      <c r="N151" s="31" t="n"/>
      <c r="O151" s="22">
        <f>IF(J151="","",IF(M151="Annulée",0,J151-N151))</f>
        <v/>
      </c>
      <c r="P151" s="33">
        <f>IF(J151="","",IF(M151="Annulée","-",IF(O151&lt;=0,"Oui","Non")))</f>
        <v/>
      </c>
      <c r="Q151" s="27" t="inlineStr"/>
      <c r="R151" s="33">
        <f>IF(OR(J151="",G151=""),"",IF(AND(M151&lt;&gt;"Annulée",O151&gt;0,G151&lt;TODAY()),"⚠️ Retard",""))</f>
        <v/>
      </c>
      <c r="S151" s="33">
        <f>IF(F151="","",TEXT(F151,"yyyy-mm"))</f>
        <v/>
      </c>
      <c r="T151" s="28" t="inlineStr"/>
    </row>
    <row r="152">
      <c r="A152" s="26">
        <f>IF(D152="","",ROW()-4)</f>
        <v/>
      </c>
      <c r="B152" s="27" t="inlineStr"/>
      <c r="C152" s="27" t="inlineStr"/>
      <c r="D152" s="28" t="inlineStr"/>
      <c r="E152" s="28" t="inlineStr"/>
      <c r="F152" s="29" t="n"/>
      <c r="G152" s="29" t="n"/>
      <c r="H152" s="26">
        <f>IF(AND(G152&lt;&gt;"",F152&lt;&gt;""),G152-F152,"")</f>
        <v/>
      </c>
      <c r="I152" s="30" t="n"/>
      <c r="J152" s="31" t="n"/>
      <c r="K152" s="32" t="n"/>
      <c r="L152" s="22">
        <f>IF(J152="","",J152*(1-K152))</f>
        <v/>
      </c>
      <c r="M152" s="27" t="inlineStr"/>
      <c r="N152" s="31" t="n"/>
      <c r="O152" s="22">
        <f>IF(J152="","",IF(M152="Annulée",0,J152-N152))</f>
        <v/>
      </c>
      <c r="P152" s="33">
        <f>IF(J152="","",IF(M152="Annulée","-",IF(O152&lt;=0,"Oui","Non")))</f>
        <v/>
      </c>
      <c r="Q152" s="27" t="inlineStr"/>
      <c r="R152" s="33">
        <f>IF(OR(J152="",G152=""),"",IF(AND(M152&lt;&gt;"Annulée",O152&gt;0,G152&lt;TODAY()),"⚠️ Retard",""))</f>
        <v/>
      </c>
      <c r="S152" s="33">
        <f>IF(F152="","",TEXT(F152,"yyyy-mm"))</f>
        <v/>
      </c>
      <c r="T152" s="28" t="inlineStr"/>
    </row>
    <row r="153">
      <c r="A153" s="26">
        <f>IF(D153="","",ROW()-4)</f>
        <v/>
      </c>
      <c r="B153" s="27" t="inlineStr"/>
      <c r="C153" s="27" t="inlineStr"/>
      <c r="D153" s="28" t="inlineStr"/>
      <c r="E153" s="28" t="inlineStr"/>
      <c r="F153" s="29" t="n"/>
      <c r="G153" s="29" t="n"/>
      <c r="H153" s="26">
        <f>IF(AND(G153&lt;&gt;"",F153&lt;&gt;""),G153-F153,"")</f>
        <v/>
      </c>
      <c r="I153" s="30" t="n"/>
      <c r="J153" s="31" t="n"/>
      <c r="K153" s="32" t="n"/>
      <c r="L153" s="22">
        <f>IF(J153="","",J153*(1-K153))</f>
        <v/>
      </c>
      <c r="M153" s="27" t="inlineStr"/>
      <c r="N153" s="31" t="n"/>
      <c r="O153" s="22">
        <f>IF(J153="","",IF(M153="Annulée",0,J153-N153))</f>
        <v/>
      </c>
      <c r="P153" s="33">
        <f>IF(J153="","",IF(M153="Annulée","-",IF(O153&lt;=0,"Oui","Non")))</f>
        <v/>
      </c>
      <c r="Q153" s="27" t="inlineStr"/>
      <c r="R153" s="33">
        <f>IF(OR(J153="",G153=""),"",IF(AND(M153&lt;&gt;"Annulée",O153&gt;0,G153&lt;TODAY()),"⚠️ Retard",""))</f>
        <v/>
      </c>
      <c r="S153" s="33">
        <f>IF(F153="","",TEXT(F153,"yyyy-mm"))</f>
        <v/>
      </c>
      <c r="T153" s="28" t="inlineStr"/>
    </row>
    <row r="154">
      <c r="A154" s="26">
        <f>IF(D154="","",ROW()-4)</f>
        <v/>
      </c>
      <c r="B154" s="27" t="inlineStr"/>
      <c r="C154" s="27" t="inlineStr"/>
      <c r="D154" s="28" t="inlineStr"/>
      <c r="E154" s="28" t="inlineStr"/>
      <c r="F154" s="29" t="n"/>
      <c r="G154" s="29" t="n"/>
      <c r="H154" s="26">
        <f>IF(AND(G154&lt;&gt;"",F154&lt;&gt;""),G154-F154,"")</f>
        <v/>
      </c>
      <c r="I154" s="30" t="n"/>
      <c r="J154" s="31" t="n"/>
      <c r="K154" s="32" t="n"/>
      <c r="L154" s="22">
        <f>IF(J154="","",J154*(1-K154))</f>
        <v/>
      </c>
      <c r="M154" s="27" t="inlineStr"/>
      <c r="N154" s="31" t="n"/>
      <c r="O154" s="22">
        <f>IF(J154="","",IF(M154="Annulée",0,J154-N154))</f>
        <v/>
      </c>
      <c r="P154" s="33">
        <f>IF(J154="","",IF(M154="Annulée","-",IF(O154&lt;=0,"Oui","Non")))</f>
        <v/>
      </c>
      <c r="Q154" s="27" t="inlineStr"/>
      <c r="R154" s="33">
        <f>IF(OR(J154="",G154=""),"",IF(AND(M154&lt;&gt;"Annulée",O154&gt;0,G154&lt;TODAY()),"⚠️ Retard",""))</f>
        <v/>
      </c>
      <c r="S154" s="33">
        <f>IF(F154="","",TEXT(F154,"yyyy-mm"))</f>
        <v/>
      </c>
      <c r="T154" s="28" t="inlineStr"/>
    </row>
  </sheetData>
  <sheetProtection selectLockedCells="0" selectUnlockedCells="0" sheet="1" objects="0" insertRows="1" insertHyperlinks="1" autoFilter="1" scenarios="0" formatColumns="1" deleteColumns="1" insertColumns="1" pivotTables="1" deleteRows="0" formatCells="0" formatRows="1" sort="1" password="C9B6"/>
  <autoFilter ref="A4:T154"/>
  <mergeCells count="2">
    <mergeCell ref="A1:T1"/>
    <mergeCell ref="A2:T2"/>
  </mergeCells>
  <conditionalFormatting sqref="M5:M654">
    <cfRule type="expression" priority="1" dxfId="2">
      <formula>M5="Annulée"</formula>
    </cfRule>
    <cfRule type="expression" priority="2" dxfId="3">
      <formula>M5="Confirmée"</formula>
    </cfRule>
  </conditionalFormatting>
  <conditionalFormatting sqref="R5:R654">
    <cfRule type="expression" priority="3" dxfId="4">
      <formula>R5="⚠️ Retard"</formula>
    </cfRule>
  </conditionalFormatting>
  <dataValidations count="4">
    <dataValidation sqref="B5:B154" showDropDown="0" showInputMessage="0" showErrorMessage="0" allowBlank="1" type="list">
      <formula1>=Biens!$A$5:$A$300</formula1>
    </dataValidation>
    <dataValidation sqref="C5:C154" showDropDown="0" showInputMessage="0" showErrorMessage="0" allowBlank="1" type="list">
      <formula1>=Paramètres!$A$7:$A$9</formula1>
    </dataValidation>
    <dataValidation sqref="M5:M154" showDropDown="0" showInputMessage="0" showErrorMessage="0" allowBlank="1" type="list">
      <formula1>=Paramètres!$B$7:$B$10</formula1>
    </dataValidation>
    <dataValidation sqref="Q5:Q154" showDropDown="0" showInputMessage="0" showErrorMessage="0" allowBlank="1" type="list">
      <formula1>=Paramètres!$G$7:$G$8</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tabColor rgb="00C9A227"/>
    <outlinePr summaryBelow="1" summaryRight="1"/>
    <pageSetUpPr/>
  </sheetPr>
  <dimension ref="A1:E24"/>
  <sheetViews>
    <sheetView showGridLines="0" workbookViewId="0">
      <selection activeCell="A1" sqref="A1"/>
    </sheetView>
  </sheetViews>
  <sheetFormatPr baseColWidth="8" defaultRowHeight="15"/>
  <cols>
    <col width="30" customWidth="1" min="1" max="1"/>
    <col width="30" customWidth="1" min="2" max="2"/>
    <col width="4" customWidth="1" min="3" max="3"/>
    <col width="30" customWidth="1" min="4" max="4"/>
    <col width="30" customWidth="1" min="5" max="5"/>
  </cols>
  <sheetData>
    <row r="1" ht="26" customHeight="1">
      <c r="A1" s="12" t="inlineStr">
        <is>
          <t>➕ NOUVELLE RÉSERVATION — Formulaire de saisie</t>
        </is>
      </c>
      <c r="B1" s="2" t="n"/>
      <c r="C1" s="2" t="n"/>
      <c r="D1" s="2" t="n"/>
      <c r="E1" s="2" t="n"/>
    </row>
    <row r="2">
      <c r="A2" s="25" t="inlineStr">
        <is>
          <t>Remplissez les cellules dorées ci-dessous, puis reportez la ligne dans l'onglet 'Réservations' (copier/coller la ligne complétée en bas du tableau).</t>
        </is>
      </c>
    </row>
    <row r="4" ht="20" customHeight="1">
      <c r="A4" s="34" t="inlineStr">
        <is>
          <t>Bien</t>
        </is>
      </c>
      <c r="B4" s="28" t="n"/>
    </row>
    <row r="5" ht="20" customHeight="1">
      <c r="A5" s="34" t="inlineStr">
        <is>
          <t>Plateforme</t>
        </is>
      </c>
      <c r="B5" s="28" t="n"/>
    </row>
    <row r="6" ht="20" customHeight="1">
      <c r="A6" s="34" t="inlineStr">
        <is>
          <t>Nom du client</t>
        </is>
      </c>
      <c r="B6" s="28" t="n"/>
    </row>
    <row r="7" ht="20" customHeight="1">
      <c r="A7" s="34" t="inlineStr">
        <is>
          <t>Contact client (tél / email)</t>
        </is>
      </c>
      <c r="B7" s="28" t="n"/>
    </row>
    <row r="8" ht="20" customHeight="1">
      <c r="A8" s="34" t="inlineStr">
        <is>
          <t>Date d'arrivée</t>
        </is>
      </c>
      <c r="B8" s="29" t="n"/>
    </row>
    <row r="9" ht="20" customHeight="1">
      <c r="A9" s="34" t="inlineStr">
        <is>
          <t>Date de départ</t>
        </is>
      </c>
      <c r="B9" s="29" t="n"/>
    </row>
    <row r="10" ht="20" customHeight="1">
      <c r="A10" s="34" t="inlineStr">
        <is>
          <t>Nombre de voyageurs</t>
        </is>
      </c>
      <c r="B10" s="30" t="n"/>
    </row>
    <row r="11" ht="20" customHeight="1">
      <c r="A11" s="34" t="inlineStr">
        <is>
          <t>Prix total (TTC)</t>
        </is>
      </c>
      <c r="B11" s="31" t="n"/>
    </row>
    <row r="12" ht="20" customHeight="1">
      <c r="A12" s="34" t="inlineStr">
        <is>
          <t>Commission plateforme (%)</t>
        </is>
      </c>
      <c r="B12" s="32" t="n"/>
    </row>
    <row r="13" ht="20" customHeight="1">
      <c r="A13" s="34" t="inlineStr">
        <is>
          <t>Statut de la réservation</t>
        </is>
      </c>
      <c r="B13" s="28" t="n"/>
    </row>
    <row r="14" ht="20" customHeight="1">
      <c r="A14" s="34" t="inlineStr">
        <is>
          <t>Acompte reçu</t>
        </is>
      </c>
      <c r="B14" s="31" t="n"/>
    </row>
    <row r="15" ht="20" customHeight="1">
      <c r="A15" s="34" t="inlineStr">
        <is>
          <t>Notes</t>
        </is>
      </c>
      <c r="B15" s="28" t="n"/>
    </row>
    <row r="17" ht="20" customHeight="1">
      <c r="A17" s="5" t="inlineStr">
        <is>
          <t>Calculs automatiques (aperçu avant report)</t>
        </is>
      </c>
    </row>
    <row r="18">
      <c r="A18" s="35" t="inlineStr">
        <is>
          <t>Nuits</t>
        </is>
      </c>
      <c r="B18" s="36">
        <f>IF(AND(B9&lt;&gt;"",B8&lt;&gt;""),B9-B8,"")</f>
        <v/>
      </c>
    </row>
    <row r="19">
      <c r="A19" s="35" t="inlineStr">
        <is>
          <t>Montant net (après commission plateforme)</t>
        </is>
      </c>
      <c r="B19" s="37">
        <f>IF(B11&lt;&gt;"",B11*(1-B12),"")</f>
        <v/>
      </c>
    </row>
    <row r="20">
      <c r="A20" s="35" t="inlineStr">
        <is>
          <t>Solde dû</t>
        </is>
      </c>
      <c r="B20" s="37">
        <f>IF(AND(B11&lt;&gt;"",B14&lt;&gt;""),B11-B14,"")</f>
        <v/>
      </c>
    </row>
    <row r="22">
      <c r="A22" s="24" t="inlineStr">
        <is>
          <t>Astuce : ce formulaire sert d'aide de saisie visuelle. La méthode la plus rapide au quotidien reste d'ajouter directement une nouvelle ligne dans le tableau de l'onglet 'Réservations' (les listes déroulantes et les formules se recopient automatiquement).</t>
        </is>
      </c>
    </row>
    <row r="23"/>
    <row r="24"/>
  </sheetData>
  <sheetProtection selectLockedCells="0" selectUnlockedCells="0" sheet="1" objects="0" insertRows="0" insertHyperlinks="1" autoFilter="1" scenarios="0" formatColumns="1" deleteColumns="1" insertColumns="1" pivotTables="1" deleteRows="0" formatCells="0" formatRows="1" sort="1" password="C9B6"/>
  <mergeCells count="4">
    <mergeCell ref="A2:E2"/>
    <mergeCell ref="A1:E1"/>
    <mergeCell ref="A17:E17"/>
    <mergeCell ref="A22:E24"/>
  </mergeCells>
  <dataValidations count="3">
    <dataValidation sqref="B4" showDropDown="0" showInputMessage="0" showErrorMessage="0" allowBlank="1" type="list">
      <formula1>=Biens!$A$5:$A$300</formula1>
    </dataValidation>
    <dataValidation sqref="B5" showDropDown="0" showInputMessage="0" showErrorMessage="0" allowBlank="1" type="list">
      <formula1>=Paramètres!$A$7:$A$9</formula1>
    </dataValidation>
    <dataValidation sqref="B13" showDropDown="0" showInputMessage="0" showErrorMessage="0" allowBlank="1" type="list">
      <formula1>=Paramètres!$B$7:$B$10</formula1>
    </dataValidation>
  </dataValidations>
  <pageMargins left="0.75" right="0.75" top="1" bottom="1" header="0.5" footer="0.5"/>
</worksheet>
</file>

<file path=xl/worksheets/sheet5.xml><?xml version="1.0" encoding="utf-8"?>
<worksheet xmlns="http://schemas.openxmlformats.org/spreadsheetml/2006/main">
  <sheetPr>
    <tabColor rgb="00C9A227"/>
    <outlinePr summaryBelow="1" summaryRight="1"/>
    <pageSetUpPr/>
  </sheetPr>
  <dimension ref="A1:L19"/>
  <sheetViews>
    <sheetView showGridLines="0" workbookViewId="0">
      <pane ySplit="4" topLeftCell="A5" activePane="bottomLeft" state="frozen"/>
      <selection pane="bottomLeft" activeCell="A1" sqref="A1"/>
    </sheetView>
  </sheetViews>
  <sheetFormatPr baseColWidth="8" defaultRowHeight="15"/>
  <cols>
    <col width="10" customWidth="1" min="1" max="1"/>
    <col width="22" customWidth="1" min="2" max="2"/>
    <col width="13" customWidth="1" min="3" max="3"/>
    <col width="22" customWidth="1" min="4" max="4"/>
    <col width="14" customWidth="1" min="5" max="5"/>
    <col width="10" customWidth="1" min="6" max="6"/>
    <col width="10" customWidth="1" min="7" max="7"/>
    <col width="18" customWidth="1" min="8" max="8"/>
    <col width="16" customWidth="1" min="9" max="9"/>
    <col width="12" customWidth="1" min="10" max="10"/>
    <col width="10" customWidth="1" min="11" max="11"/>
    <col width="26" customWidth="1" min="12" max="12"/>
  </cols>
  <sheetData>
    <row r="1" ht="26" customHeight="1">
      <c r="A1" s="12" t="inlineStr">
        <is>
          <t>BIENS — Propriétés gérées par MG Hôte</t>
        </is>
      </c>
      <c r="B1" s="2" t="n"/>
      <c r="C1" s="2" t="n"/>
      <c r="D1" s="2" t="n"/>
      <c r="E1" s="2" t="n"/>
      <c r="F1" s="2" t="n"/>
      <c r="G1" s="2" t="n"/>
      <c r="H1" s="2" t="n"/>
      <c r="I1" s="2" t="n"/>
      <c r="J1" s="2" t="n"/>
      <c r="K1" s="2" t="n"/>
      <c r="L1" s="2" t="n"/>
    </row>
    <row r="2">
      <c r="A2" s="25" t="inlineStr">
        <is>
          <t>Une ligne par bien. Pour ajouter un bien, insérez une ligne dans le tableau (Bien 2, Bien 3…). Cellules dorées = à saisir.</t>
        </is>
      </c>
    </row>
    <row r="4" ht="30" customHeight="1">
      <c r="A4" s="20" t="inlineStr">
        <is>
          <t>ID Bien</t>
        </is>
      </c>
      <c r="B4" s="20" t="inlineStr">
        <is>
          <t>Nom / Désignation</t>
        </is>
      </c>
      <c r="C4" s="20" t="inlineStr">
        <is>
          <t>Type</t>
        </is>
      </c>
      <c r="D4" s="20" t="inlineStr">
        <is>
          <t>Adresse</t>
        </is>
      </c>
      <c r="E4" s="20" t="inlineStr">
        <is>
          <t>Ville</t>
        </is>
      </c>
      <c r="F4" s="20" t="inlineStr">
        <is>
          <t>Capacité (pers.)</t>
        </is>
      </c>
      <c r="G4" s="20" t="inlineStr">
        <is>
          <t>Nb chambres</t>
        </is>
      </c>
      <c r="H4" s="20" t="inlineStr">
        <is>
          <t>Propriétaire</t>
        </is>
      </c>
      <c r="I4" s="20" t="inlineStr">
        <is>
          <t>Plateformes actives</t>
        </is>
      </c>
      <c r="J4" s="20" t="inlineStr">
        <is>
          <t>Commission MG Hôte</t>
        </is>
      </c>
      <c r="K4" s="20" t="inlineStr">
        <is>
          <t>Statut</t>
        </is>
      </c>
      <c r="L4" s="20" t="inlineStr">
        <is>
          <t>Notes</t>
        </is>
      </c>
    </row>
    <row r="5">
      <c r="A5" s="28" t="inlineStr">
        <is>
          <t>Bien 1</t>
        </is>
      </c>
      <c r="B5" s="28" t="inlineStr">
        <is>
          <t>À compléter</t>
        </is>
      </c>
      <c r="C5" s="28" t="inlineStr">
        <is>
          <t>Villa</t>
        </is>
      </c>
      <c r="D5" s="28" t="inlineStr"/>
      <c r="E5" s="28" t="inlineStr"/>
      <c r="F5" s="30" t="n">
        <v>4</v>
      </c>
      <c r="G5" s="30" t="n">
        <v>2</v>
      </c>
      <c r="H5" s="28" t="inlineStr">
        <is>
          <t>À compléter</t>
        </is>
      </c>
      <c r="I5" s="28" t="inlineStr">
        <is>
          <t>Airbnb, Booking</t>
        </is>
      </c>
      <c r="J5" s="32">
        <f>Commission_Defaut</f>
        <v/>
      </c>
      <c r="K5" s="27" t="inlineStr">
        <is>
          <t>Actif</t>
        </is>
      </c>
      <c r="L5" s="28" t="inlineStr"/>
    </row>
    <row r="6">
      <c r="A6" s="28" t="inlineStr">
        <is>
          <t>Bien 2</t>
        </is>
      </c>
      <c r="B6" s="28" t="inlineStr"/>
      <c r="C6" s="28" t="inlineStr"/>
      <c r="D6" s="28" t="inlineStr"/>
      <c r="E6" s="28" t="inlineStr"/>
      <c r="F6" s="30" t="n"/>
      <c r="G6" s="30" t="n"/>
      <c r="H6" s="28" t="inlineStr"/>
      <c r="I6" s="28" t="inlineStr"/>
      <c r="J6" s="32">
        <f>Commission_Defaut</f>
        <v/>
      </c>
      <c r="K6" s="27" t="inlineStr">
        <is>
          <t>Inactif</t>
        </is>
      </c>
      <c r="L6" s="28" t="inlineStr"/>
    </row>
    <row r="7">
      <c r="A7" s="28" t="inlineStr">
        <is>
          <t>Bien 3</t>
        </is>
      </c>
      <c r="B7" s="28" t="inlineStr"/>
      <c r="C7" s="28" t="inlineStr"/>
      <c r="D7" s="28" t="inlineStr"/>
      <c r="E7" s="28" t="inlineStr"/>
      <c r="F7" s="30" t="n"/>
      <c r="G7" s="30" t="n"/>
      <c r="H7" s="28" t="inlineStr"/>
      <c r="I7" s="28" t="inlineStr"/>
      <c r="J7" s="32">
        <f>Commission_Defaut</f>
        <v/>
      </c>
      <c r="K7" s="27" t="inlineStr">
        <is>
          <t>Inactif</t>
        </is>
      </c>
      <c r="L7" s="28" t="inlineStr"/>
    </row>
    <row r="8">
      <c r="A8" s="28" t="inlineStr">
        <is>
          <t>Bien 4</t>
        </is>
      </c>
      <c r="B8" s="28" t="inlineStr"/>
      <c r="C8" s="28" t="inlineStr"/>
      <c r="D8" s="28" t="inlineStr"/>
      <c r="E8" s="28" t="inlineStr"/>
      <c r="F8" s="30" t="n"/>
      <c r="G8" s="30" t="n"/>
      <c r="H8" s="28" t="inlineStr"/>
      <c r="I8" s="28" t="inlineStr"/>
      <c r="J8" s="32">
        <f>Commission_Defaut</f>
        <v/>
      </c>
      <c r="K8" s="27" t="inlineStr">
        <is>
          <t>Inactif</t>
        </is>
      </c>
      <c r="L8" s="28" t="inlineStr"/>
    </row>
    <row r="9">
      <c r="A9" s="28" t="inlineStr">
        <is>
          <t>Bien 5</t>
        </is>
      </c>
      <c r="B9" s="28" t="inlineStr"/>
      <c r="C9" s="28" t="inlineStr"/>
      <c r="D9" s="28" t="inlineStr"/>
      <c r="E9" s="28" t="inlineStr"/>
      <c r="F9" s="30" t="n"/>
      <c r="G9" s="30" t="n"/>
      <c r="H9" s="28" t="inlineStr"/>
      <c r="I9" s="28" t="inlineStr"/>
      <c r="J9" s="32">
        <f>Commission_Defaut</f>
        <v/>
      </c>
      <c r="K9" s="27" t="inlineStr">
        <is>
          <t>Inactif</t>
        </is>
      </c>
      <c r="L9" s="28" t="inlineStr"/>
    </row>
    <row r="10">
      <c r="A10" s="28" t="inlineStr">
        <is>
          <t>Bien 6</t>
        </is>
      </c>
      <c r="B10" s="28" t="inlineStr"/>
      <c r="C10" s="28" t="inlineStr"/>
      <c r="D10" s="28" t="inlineStr"/>
      <c r="E10" s="28" t="inlineStr"/>
      <c r="F10" s="30" t="n"/>
      <c r="G10" s="30" t="n"/>
      <c r="H10" s="28" t="inlineStr"/>
      <c r="I10" s="28" t="inlineStr"/>
      <c r="J10" s="32">
        <f>Commission_Defaut</f>
        <v/>
      </c>
      <c r="K10" s="27" t="inlineStr">
        <is>
          <t>Inactif</t>
        </is>
      </c>
      <c r="L10" s="28" t="inlineStr"/>
    </row>
    <row r="11">
      <c r="A11" s="28" t="inlineStr">
        <is>
          <t>Bien 7</t>
        </is>
      </c>
      <c r="B11" s="28" t="inlineStr"/>
      <c r="C11" s="28" t="inlineStr"/>
      <c r="D11" s="28" t="inlineStr"/>
      <c r="E11" s="28" t="inlineStr"/>
      <c r="F11" s="30" t="n"/>
      <c r="G11" s="30" t="n"/>
      <c r="H11" s="28" t="inlineStr"/>
      <c r="I11" s="28" t="inlineStr"/>
      <c r="J11" s="32">
        <f>Commission_Defaut</f>
        <v/>
      </c>
      <c r="K11" s="27" t="inlineStr">
        <is>
          <t>Inactif</t>
        </is>
      </c>
      <c r="L11" s="28" t="inlineStr"/>
    </row>
    <row r="12">
      <c r="A12" s="28" t="inlineStr">
        <is>
          <t>Bien 8</t>
        </is>
      </c>
      <c r="B12" s="28" t="inlineStr"/>
      <c r="C12" s="28" t="inlineStr"/>
      <c r="D12" s="28" t="inlineStr"/>
      <c r="E12" s="28" t="inlineStr"/>
      <c r="F12" s="30" t="n"/>
      <c r="G12" s="30" t="n"/>
      <c r="H12" s="28" t="inlineStr"/>
      <c r="I12" s="28" t="inlineStr"/>
      <c r="J12" s="32">
        <f>Commission_Defaut</f>
        <v/>
      </c>
      <c r="K12" s="27" t="inlineStr">
        <is>
          <t>Inactif</t>
        </is>
      </c>
      <c r="L12" s="28" t="inlineStr"/>
    </row>
    <row r="13">
      <c r="A13" s="28" t="inlineStr">
        <is>
          <t>Bien 9</t>
        </is>
      </c>
      <c r="B13" s="28" t="inlineStr"/>
      <c r="C13" s="28" t="inlineStr"/>
      <c r="D13" s="28" t="inlineStr"/>
      <c r="E13" s="28" t="inlineStr"/>
      <c r="F13" s="30" t="n"/>
      <c r="G13" s="30" t="n"/>
      <c r="H13" s="28" t="inlineStr"/>
      <c r="I13" s="28" t="inlineStr"/>
      <c r="J13" s="32">
        <f>Commission_Defaut</f>
        <v/>
      </c>
      <c r="K13" s="27" t="inlineStr">
        <is>
          <t>Inactif</t>
        </is>
      </c>
      <c r="L13" s="28" t="inlineStr"/>
    </row>
    <row r="14">
      <c r="A14" s="28" t="inlineStr">
        <is>
          <t>Bien 10</t>
        </is>
      </c>
      <c r="B14" s="28" t="inlineStr"/>
      <c r="C14" s="28" t="inlineStr"/>
      <c r="D14" s="28" t="inlineStr"/>
      <c r="E14" s="28" t="inlineStr"/>
      <c r="F14" s="30" t="n"/>
      <c r="G14" s="30" t="n"/>
      <c r="H14" s="28" t="inlineStr"/>
      <c r="I14" s="28" t="inlineStr"/>
      <c r="J14" s="32">
        <f>Commission_Defaut</f>
        <v/>
      </c>
      <c r="K14" s="27" t="inlineStr">
        <is>
          <t>Inactif</t>
        </is>
      </c>
      <c r="L14" s="28" t="inlineStr"/>
    </row>
    <row r="15">
      <c r="A15" s="28" t="inlineStr">
        <is>
          <t>Bien 11</t>
        </is>
      </c>
      <c r="B15" s="28" t="inlineStr"/>
      <c r="C15" s="28" t="inlineStr"/>
      <c r="D15" s="28" t="inlineStr"/>
      <c r="E15" s="28" t="inlineStr"/>
      <c r="F15" s="30" t="n"/>
      <c r="G15" s="30" t="n"/>
      <c r="H15" s="28" t="inlineStr"/>
      <c r="I15" s="28" t="inlineStr"/>
      <c r="J15" s="32">
        <f>Commission_Defaut</f>
        <v/>
      </c>
      <c r="K15" s="27" t="inlineStr">
        <is>
          <t>Inactif</t>
        </is>
      </c>
      <c r="L15" s="28" t="inlineStr"/>
    </row>
    <row r="16">
      <c r="A16" s="28" t="inlineStr">
        <is>
          <t>Bien 12</t>
        </is>
      </c>
      <c r="B16" s="28" t="inlineStr"/>
      <c r="C16" s="28" t="inlineStr"/>
      <c r="D16" s="28" t="inlineStr"/>
      <c r="E16" s="28" t="inlineStr"/>
      <c r="F16" s="30" t="n"/>
      <c r="G16" s="30" t="n"/>
      <c r="H16" s="28" t="inlineStr"/>
      <c r="I16" s="28" t="inlineStr"/>
      <c r="J16" s="32">
        <f>Commission_Defaut</f>
        <v/>
      </c>
      <c r="K16" s="27" t="inlineStr">
        <is>
          <t>Inactif</t>
        </is>
      </c>
      <c r="L16" s="28" t="inlineStr"/>
    </row>
    <row r="17">
      <c r="A17" s="28" t="inlineStr">
        <is>
          <t>Bien 13</t>
        </is>
      </c>
      <c r="B17" s="28" t="inlineStr"/>
      <c r="C17" s="28" t="inlineStr"/>
      <c r="D17" s="28" t="inlineStr"/>
      <c r="E17" s="28" t="inlineStr"/>
      <c r="F17" s="30" t="n"/>
      <c r="G17" s="30" t="n"/>
      <c r="H17" s="28" t="inlineStr"/>
      <c r="I17" s="28" t="inlineStr"/>
      <c r="J17" s="32">
        <f>Commission_Defaut</f>
        <v/>
      </c>
      <c r="K17" s="27" t="inlineStr">
        <is>
          <t>Inactif</t>
        </is>
      </c>
      <c r="L17" s="28" t="inlineStr"/>
    </row>
    <row r="18">
      <c r="A18" s="28" t="inlineStr">
        <is>
          <t>Bien 14</t>
        </is>
      </c>
      <c r="B18" s="28" t="inlineStr"/>
      <c r="C18" s="28" t="inlineStr"/>
      <c r="D18" s="28" t="inlineStr"/>
      <c r="E18" s="28" t="inlineStr"/>
      <c r="F18" s="30" t="n"/>
      <c r="G18" s="30" t="n"/>
      <c r="H18" s="28" t="inlineStr"/>
      <c r="I18" s="28" t="inlineStr"/>
      <c r="J18" s="32">
        <f>Commission_Defaut</f>
        <v/>
      </c>
      <c r="K18" s="27" t="inlineStr">
        <is>
          <t>Inactif</t>
        </is>
      </c>
      <c r="L18" s="28" t="inlineStr"/>
    </row>
    <row r="19">
      <c r="A19" s="28" t="inlineStr">
        <is>
          <t>Bien 15</t>
        </is>
      </c>
      <c r="B19" s="28" t="inlineStr"/>
      <c r="C19" s="28" t="inlineStr"/>
      <c r="D19" s="28" t="inlineStr"/>
      <c r="E19" s="28" t="inlineStr"/>
      <c r="F19" s="30" t="n"/>
      <c r="G19" s="30" t="n"/>
      <c r="H19" s="28" t="inlineStr"/>
      <c r="I19" s="28" t="inlineStr"/>
      <c r="J19" s="32">
        <f>Commission_Defaut</f>
        <v/>
      </c>
      <c r="K19" s="27" t="inlineStr">
        <is>
          <t>Inactif</t>
        </is>
      </c>
      <c r="L19" s="28" t="inlineStr"/>
    </row>
  </sheetData>
  <sheetProtection selectLockedCells="0" selectUnlockedCells="0" sheet="1" objects="0" insertRows="1" insertHyperlinks="1" autoFilter="1" scenarios="0" formatColumns="1" deleteColumns="1" insertColumns="1" pivotTables="1" deleteRows="0" formatCells="0" formatRows="1" sort="1" password="C9B6"/>
  <mergeCells count="2">
    <mergeCell ref="A2:L2"/>
    <mergeCell ref="A1:L1"/>
  </mergeCells>
  <conditionalFormatting sqref="K5:K19">
    <cfRule type="expression" priority="1" dxfId="5">
      <formula>K5="Inactif"</formula>
    </cfRule>
  </conditionalFormatting>
  <dataValidations count="2">
    <dataValidation sqref="C5:C19" showDropDown="0" showInputMessage="0" showErrorMessage="0" allowBlank="1" type="list">
      <formula1>=Paramètres!$C$7:$C$10</formula1>
    </dataValidation>
    <dataValidation sqref="K5:K19" showDropDown="0" showInputMessage="0" showErrorMessage="0" allowBlank="1" type="list">
      <formula1>"Actif,Inactif"</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tabColor rgb="00C9A227"/>
    <outlinePr summaryBelow="1" summaryRight="1"/>
    <pageSetUpPr/>
  </sheetPr>
  <dimension ref="A1:J19"/>
  <sheetViews>
    <sheetView showGridLines="0" workbookViewId="0">
      <pane ySplit="4" topLeftCell="A5" activePane="bottomLeft" state="frozen"/>
      <selection pane="bottomLeft" activeCell="A1" sqref="A1"/>
    </sheetView>
  </sheetViews>
  <sheetFormatPr baseColWidth="8" defaultRowHeight="15"/>
  <cols>
    <col width="10" customWidth="1" min="1" max="1"/>
    <col width="24" customWidth="1" min="2" max="2"/>
    <col width="16" customWidth="1" min="3" max="3"/>
    <col width="24" customWidth="1" min="4" max="4"/>
    <col width="26" customWidth="1" min="5" max="5"/>
    <col width="22" customWidth="1" min="6" max="6"/>
    <col width="20" customWidth="1" min="7" max="7"/>
    <col width="18" customWidth="1" min="8" max="8"/>
    <col width="14" customWidth="1" min="9" max="9"/>
    <col width="26" customWidth="1" min="10" max="10"/>
  </cols>
  <sheetData>
    <row r="1" ht="26" customHeight="1">
      <c r="A1" s="12" t="inlineStr">
        <is>
          <t>PROPRIÉTAIRES — Fiches propriétaires</t>
        </is>
      </c>
      <c r="B1" s="2" t="n"/>
      <c r="C1" s="2" t="n"/>
      <c r="D1" s="2" t="n"/>
      <c r="E1" s="2" t="n"/>
      <c r="F1" s="2" t="n"/>
      <c r="G1" s="2" t="n"/>
      <c r="H1" s="2" t="n"/>
      <c r="I1" s="2" t="n"/>
      <c r="J1" s="2" t="n"/>
    </row>
    <row r="2">
      <c r="A2" s="25" t="inlineStr">
        <is>
          <t>Une ligne par propriétaire. Ces informations alimentent les fiches et factures imprimables.</t>
        </is>
      </c>
    </row>
    <row r="4" ht="30" customHeight="1">
      <c r="A4" s="20" t="inlineStr">
        <is>
          <t>ID Propriétaire</t>
        </is>
      </c>
      <c r="B4" s="20" t="inlineStr">
        <is>
          <t>Nom complet</t>
        </is>
      </c>
      <c r="C4" s="20" t="inlineStr">
        <is>
          <t>Téléphone</t>
        </is>
      </c>
      <c r="D4" s="20" t="inlineStr">
        <is>
          <t>Email</t>
        </is>
      </c>
      <c r="E4" s="20" t="inlineStr">
        <is>
          <t>Adresse</t>
        </is>
      </c>
      <c r="F4" s="20" t="inlineStr">
        <is>
          <t>Bien(s) géré(s)</t>
        </is>
      </c>
      <c r="G4" s="20" t="inlineStr">
        <is>
          <t>RIB / IBAN</t>
        </is>
      </c>
      <c r="H4" s="20" t="inlineStr">
        <is>
          <t>Mode paiement préféré</t>
        </is>
      </c>
      <c r="I4" s="20" t="inlineStr">
        <is>
          <t>Début contrat</t>
        </is>
      </c>
      <c r="J4" s="20" t="inlineStr">
        <is>
          <t>Notes</t>
        </is>
      </c>
    </row>
    <row r="5">
      <c r="A5" s="28" t="inlineStr">
        <is>
          <t>P1</t>
        </is>
      </c>
      <c r="B5" s="28" t="inlineStr">
        <is>
          <t>À compléter</t>
        </is>
      </c>
      <c r="C5" s="28" t="inlineStr"/>
      <c r="D5" s="28" t="inlineStr"/>
      <c r="E5" s="28" t="inlineStr"/>
      <c r="F5" s="28" t="inlineStr">
        <is>
          <t>Bien 1</t>
        </is>
      </c>
      <c r="G5" s="28" t="inlineStr"/>
      <c r="H5" s="27" t="inlineStr">
        <is>
          <t>Virement</t>
        </is>
      </c>
      <c r="I5" s="29" t="n"/>
      <c r="J5" s="28" t="inlineStr"/>
    </row>
    <row r="6">
      <c r="A6" s="28" t="inlineStr">
        <is>
          <t>P2</t>
        </is>
      </c>
      <c r="B6" s="28" t="inlineStr"/>
      <c r="C6" s="28" t="inlineStr"/>
      <c r="D6" s="28" t="inlineStr"/>
      <c r="E6" s="28" t="inlineStr"/>
      <c r="F6" s="28" t="inlineStr"/>
      <c r="G6" s="28" t="inlineStr"/>
      <c r="H6" s="27" t="inlineStr"/>
      <c r="I6" s="29" t="n"/>
      <c r="J6" s="28" t="inlineStr"/>
    </row>
    <row r="7">
      <c r="A7" s="28" t="inlineStr">
        <is>
          <t>P3</t>
        </is>
      </c>
      <c r="B7" s="28" t="inlineStr"/>
      <c r="C7" s="28" t="inlineStr"/>
      <c r="D7" s="28" t="inlineStr"/>
      <c r="E7" s="28" t="inlineStr"/>
      <c r="F7" s="28" t="inlineStr"/>
      <c r="G7" s="28" t="inlineStr"/>
      <c r="H7" s="27" t="inlineStr"/>
      <c r="I7" s="29" t="n"/>
      <c r="J7" s="28" t="inlineStr"/>
    </row>
    <row r="8">
      <c r="A8" s="28" t="inlineStr">
        <is>
          <t>P4</t>
        </is>
      </c>
      <c r="B8" s="28" t="inlineStr"/>
      <c r="C8" s="28" t="inlineStr"/>
      <c r="D8" s="28" t="inlineStr"/>
      <c r="E8" s="28" t="inlineStr"/>
      <c r="F8" s="28" t="inlineStr"/>
      <c r="G8" s="28" t="inlineStr"/>
      <c r="H8" s="27" t="inlineStr"/>
      <c r="I8" s="29" t="n"/>
      <c r="J8" s="28" t="inlineStr"/>
    </row>
    <row r="9">
      <c r="A9" s="28" t="inlineStr">
        <is>
          <t>P5</t>
        </is>
      </c>
      <c r="B9" s="28" t="inlineStr"/>
      <c r="C9" s="28" t="inlineStr"/>
      <c r="D9" s="28" t="inlineStr"/>
      <c r="E9" s="28" t="inlineStr"/>
      <c r="F9" s="28" t="inlineStr"/>
      <c r="G9" s="28" t="inlineStr"/>
      <c r="H9" s="27" t="inlineStr"/>
      <c r="I9" s="29" t="n"/>
      <c r="J9" s="28" t="inlineStr"/>
    </row>
    <row r="10">
      <c r="A10" s="28" t="inlineStr">
        <is>
          <t>P6</t>
        </is>
      </c>
      <c r="B10" s="28" t="inlineStr"/>
      <c r="C10" s="28" t="inlineStr"/>
      <c r="D10" s="28" t="inlineStr"/>
      <c r="E10" s="28" t="inlineStr"/>
      <c r="F10" s="28" t="inlineStr"/>
      <c r="G10" s="28" t="inlineStr"/>
      <c r="H10" s="27" t="inlineStr"/>
      <c r="I10" s="29" t="n"/>
      <c r="J10" s="28" t="inlineStr"/>
    </row>
    <row r="11">
      <c r="A11" s="28" t="inlineStr">
        <is>
          <t>P7</t>
        </is>
      </c>
      <c r="B11" s="28" t="inlineStr"/>
      <c r="C11" s="28" t="inlineStr"/>
      <c r="D11" s="28" t="inlineStr"/>
      <c r="E11" s="28" t="inlineStr"/>
      <c r="F11" s="28" t="inlineStr"/>
      <c r="G11" s="28" t="inlineStr"/>
      <c r="H11" s="27" t="inlineStr"/>
      <c r="I11" s="29" t="n"/>
      <c r="J11" s="28" t="inlineStr"/>
    </row>
    <row r="12">
      <c r="A12" s="28" t="inlineStr">
        <is>
          <t>P8</t>
        </is>
      </c>
      <c r="B12" s="28" t="inlineStr"/>
      <c r="C12" s="28" t="inlineStr"/>
      <c r="D12" s="28" t="inlineStr"/>
      <c r="E12" s="28" t="inlineStr"/>
      <c r="F12" s="28" t="inlineStr"/>
      <c r="G12" s="28" t="inlineStr"/>
      <c r="H12" s="27" t="inlineStr"/>
      <c r="I12" s="29" t="n"/>
      <c r="J12" s="28" t="inlineStr"/>
    </row>
    <row r="13">
      <c r="A13" s="28" t="inlineStr">
        <is>
          <t>P9</t>
        </is>
      </c>
      <c r="B13" s="28" t="inlineStr"/>
      <c r="C13" s="28" t="inlineStr"/>
      <c r="D13" s="28" t="inlineStr"/>
      <c r="E13" s="28" t="inlineStr"/>
      <c r="F13" s="28" t="inlineStr"/>
      <c r="G13" s="28" t="inlineStr"/>
      <c r="H13" s="27" t="inlineStr"/>
      <c r="I13" s="29" t="n"/>
      <c r="J13" s="28" t="inlineStr"/>
    </row>
    <row r="14">
      <c r="A14" s="28" t="inlineStr">
        <is>
          <t>P10</t>
        </is>
      </c>
      <c r="B14" s="28" t="inlineStr"/>
      <c r="C14" s="28" t="inlineStr"/>
      <c r="D14" s="28" t="inlineStr"/>
      <c r="E14" s="28" t="inlineStr"/>
      <c r="F14" s="28" t="inlineStr"/>
      <c r="G14" s="28" t="inlineStr"/>
      <c r="H14" s="27" t="inlineStr"/>
      <c r="I14" s="29" t="n"/>
      <c r="J14" s="28" t="inlineStr"/>
    </row>
    <row r="15">
      <c r="A15" s="28" t="inlineStr">
        <is>
          <t>P11</t>
        </is>
      </c>
      <c r="B15" s="28" t="inlineStr"/>
      <c r="C15" s="28" t="inlineStr"/>
      <c r="D15" s="28" t="inlineStr"/>
      <c r="E15" s="28" t="inlineStr"/>
      <c r="F15" s="28" t="inlineStr"/>
      <c r="G15" s="28" t="inlineStr"/>
      <c r="H15" s="27" t="inlineStr"/>
      <c r="I15" s="29" t="n"/>
      <c r="J15" s="28" t="inlineStr"/>
    </row>
    <row r="16">
      <c r="A16" s="28" t="inlineStr">
        <is>
          <t>P12</t>
        </is>
      </c>
      <c r="B16" s="28" t="inlineStr"/>
      <c r="C16" s="28" t="inlineStr"/>
      <c r="D16" s="28" t="inlineStr"/>
      <c r="E16" s="28" t="inlineStr"/>
      <c r="F16" s="28" t="inlineStr"/>
      <c r="G16" s="28" t="inlineStr"/>
      <c r="H16" s="27" t="inlineStr"/>
      <c r="I16" s="29" t="n"/>
      <c r="J16" s="28" t="inlineStr"/>
    </row>
    <row r="17">
      <c r="A17" s="28" t="inlineStr">
        <is>
          <t>P13</t>
        </is>
      </c>
      <c r="B17" s="28" t="inlineStr"/>
      <c r="C17" s="28" t="inlineStr"/>
      <c r="D17" s="28" t="inlineStr"/>
      <c r="E17" s="28" t="inlineStr"/>
      <c r="F17" s="28" t="inlineStr"/>
      <c r="G17" s="28" t="inlineStr"/>
      <c r="H17" s="27" t="inlineStr"/>
      <c r="I17" s="29" t="n"/>
      <c r="J17" s="28" t="inlineStr"/>
    </row>
    <row r="18">
      <c r="A18" s="28" t="inlineStr">
        <is>
          <t>P14</t>
        </is>
      </c>
      <c r="B18" s="28" t="inlineStr"/>
      <c r="C18" s="28" t="inlineStr"/>
      <c r="D18" s="28" t="inlineStr"/>
      <c r="E18" s="28" t="inlineStr"/>
      <c r="F18" s="28" t="inlineStr"/>
      <c r="G18" s="28" t="inlineStr"/>
      <c r="H18" s="27" t="inlineStr"/>
      <c r="I18" s="29" t="n"/>
      <c r="J18" s="28" t="inlineStr"/>
    </row>
    <row r="19">
      <c r="A19" s="28" t="inlineStr">
        <is>
          <t>P15</t>
        </is>
      </c>
      <c r="B19" s="28" t="inlineStr"/>
      <c r="C19" s="28" t="inlineStr"/>
      <c r="D19" s="28" t="inlineStr"/>
      <c r="E19" s="28" t="inlineStr"/>
      <c r="F19" s="28" t="inlineStr"/>
      <c r="G19" s="28" t="inlineStr"/>
      <c r="H19" s="27" t="inlineStr"/>
      <c r="I19" s="29" t="n"/>
      <c r="J19" s="28" t="inlineStr"/>
    </row>
  </sheetData>
  <sheetProtection selectLockedCells="0" selectUnlockedCells="0" sheet="1" objects="0" insertRows="1" insertHyperlinks="1" autoFilter="1" scenarios="0" formatColumns="1" deleteColumns="1" insertColumns="1" pivotTables="1" deleteRows="0" formatCells="0" formatRows="1" sort="1" password="C9B6"/>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tabColor rgb="00C9A227"/>
    <outlinePr summaryBelow="1" summaryRight="1"/>
    <pageSetUpPr/>
  </sheetPr>
  <dimension ref="A1:O64"/>
  <sheetViews>
    <sheetView showGridLines="0" workbookViewId="0">
      <pane ySplit="4" topLeftCell="A5" activePane="bottomLeft" state="frozen"/>
      <selection pane="bottomLeft" activeCell="A1" sqref="A1"/>
    </sheetView>
  </sheetViews>
  <sheetFormatPr baseColWidth="8" defaultRowHeight="15"/>
  <cols>
    <col width="10" customWidth="1" min="1" max="1"/>
    <col width="10" customWidth="1" min="2" max="2"/>
    <col width="13" customWidth="1" min="3" max="3"/>
    <col width="11" customWidth="1" min="4" max="4"/>
    <col width="13" customWidth="1" min="5" max="5"/>
    <col width="12" customWidth="1" min="6" max="6"/>
    <col width="9" customWidth="1" min="7" max="7"/>
    <col width="11" customWidth="1" min="8" max="8"/>
    <col width="13" customWidth="1" min="9" max="9"/>
    <col width="12" customWidth="1" min="10" max="10"/>
    <col width="15" customWidth="1" min="11" max="11"/>
    <col width="15" customWidth="1" min="12" max="12"/>
    <col width="16" customWidth="1" min="13" max="13"/>
    <col width="11" customWidth="1" min="14" max="14"/>
    <col width="15" customWidth="1" min="15" max="15"/>
  </cols>
  <sheetData>
    <row r="1" ht="26" customHeight="1">
      <c r="A1" s="12" t="inlineStr">
        <is>
          <t>FINANCES — Mini comptabilité mensuelle par bien</t>
        </is>
      </c>
      <c r="B1" s="2" t="n"/>
      <c r="C1" s="2" t="n"/>
      <c r="D1" s="2" t="n"/>
      <c r="E1" s="2" t="n"/>
      <c r="F1" s="2" t="n"/>
      <c r="G1" s="2" t="n"/>
      <c r="H1" s="2" t="n"/>
      <c r="I1" s="2" t="n"/>
      <c r="J1" s="2" t="n"/>
      <c r="K1" s="2" t="n"/>
      <c r="L1" s="2" t="n"/>
      <c r="M1" s="2" t="n"/>
      <c r="N1" s="2" t="n"/>
    </row>
    <row r="2">
      <c r="A2" s="25" t="inlineStr">
        <is>
          <t>Une ligne par bien et par mois. Le revenu locatif se calcule automatiquement depuis l'onglet Réservations ; saisissez les charges du mois en jaune.</t>
        </is>
      </c>
    </row>
    <row r="4" ht="30" customHeight="1">
      <c r="A4" s="20" t="inlineStr">
        <is>
          <t>Mois</t>
        </is>
      </c>
      <c r="B4" s="20" t="inlineStr">
        <is>
          <t>Bien</t>
        </is>
      </c>
      <c r="C4" s="20" t="inlineStr">
        <is>
          <t>Revenu locatif</t>
        </is>
      </c>
      <c r="D4" s="20" t="inlineStr">
        <is>
          <t>Ménage</t>
        </is>
      </c>
      <c r="E4" s="20" t="inlineStr">
        <is>
          <t>Consommables</t>
        </is>
      </c>
      <c r="F4" s="20" t="inlineStr">
        <is>
          <t>Électricité</t>
        </is>
      </c>
      <c r="G4" s="20" t="inlineStr">
        <is>
          <t>Eau</t>
        </is>
      </c>
      <c r="H4" s="20" t="inlineStr">
        <is>
          <t>Publicité</t>
        </is>
      </c>
      <c r="I4" s="20" t="inlineStr">
        <is>
          <t>Maintenance</t>
        </is>
      </c>
      <c r="J4" s="20" t="inlineStr">
        <is>
          <t>Total charges</t>
        </is>
      </c>
      <c r="K4" s="20" t="inlineStr">
        <is>
          <t>Commission MG Hôte %</t>
        </is>
      </c>
      <c r="L4" s="20" t="inlineStr">
        <is>
          <t>Commission MG Hôte</t>
        </is>
      </c>
      <c r="M4" s="20" t="inlineStr">
        <is>
          <t>Résultat net propriétaire</t>
        </is>
      </c>
      <c r="N4" s="20" t="inlineStr">
        <is>
          <t>Marge nette</t>
        </is>
      </c>
      <c r="O4" s="20" t="inlineStr">
        <is>
          <t>Alerte rentabilité</t>
        </is>
      </c>
    </row>
    <row r="5">
      <c r="A5" s="27" t="inlineStr">
        <is>
          <t>2026-07</t>
        </is>
      </c>
      <c r="B5" s="27" t="inlineStr">
        <is>
          <t>Bien 1</t>
        </is>
      </c>
      <c r="C5" s="22">
        <f>IF(OR(A5="",B5=""),"",SUMIFS(T_Reservations[Prix total (TTC)],T_Reservations[Bien],B5,T_Reservations[Mois],A5,T_Reservations[Statut],"&lt;&gt;Annulée"))</f>
        <v/>
      </c>
      <c r="D5" s="31" t="n">
        <v>400</v>
      </c>
      <c r="E5" s="31" t="n">
        <v>150</v>
      </c>
      <c r="F5" s="31" t="n">
        <v>300</v>
      </c>
      <c r="G5" s="31" t="n">
        <v>100</v>
      </c>
      <c r="H5" s="31" t="n">
        <v>200</v>
      </c>
      <c r="I5" s="22">
        <f>IF(OR(A5="",B5=""),"",SUMIFS(T_Maintenance[Coût],T_Maintenance[Bien],B5,T_Maintenance[Mois],A5))</f>
        <v/>
      </c>
      <c r="J5" s="19">
        <f>IF(A5="","",SUM(D5:I5))</f>
        <v/>
      </c>
      <c r="K5" s="32">
        <f>Commission_Defaut</f>
        <v/>
      </c>
      <c r="L5" s="22">
        <f>IF(OR(A5="",K5=""),"",C5*K5)</f>
        <v/>
      </c>
      <c r="M5" s="19">
        <f>IF(A5="","",C5-J5-L5)</f>
        <v/>
      </c>
      <c r="N5" s="23">
        <f>IF(A5="","",IFERROR(M5/C5,0))</f>
        <v/>
      </c>
      <c r="O5" s="33">
        <f>IF(A5="","",IF(N5&lt;Seuil_Rentabilite,"⚠️ Faible","OK"))</f>
        <v/>
      </c>
    </row>
    <row r="6">
      <c r="A6" s="27" t="n"/>
      <c r="B6" s="27" t="inlineStr"/>
      <c r="C6" s="22">
        <f>IF(OR(A6="",B6=""),"",SUMIFS(T_Reservations[Prix total (TTC)],T_Reservations[Bien],B6,T_Reservations[Mois],A6,T_Reservations[Statut],"&lt;&gt;Annulée"))</f>
        <v/>
      </c>
      <c r="D6" s="31" t="n"/>
      <c r="E6" s="31" t="n"/>
      <c r="F6" s="31" t="n"/>
      <c r="G6" s="31" t="n"/>
      <c r="H6" s="31" t="n"/>
      <c r="I6" s="22">
        <f>IF(OR(A6="",B6=""),"",SUMIFS(T_Maintenance[Coût],T_Maintenance[Bien],B6,T_Maintenance[Mois],A6))</f>
        <v/>
      </c>
      <c r="J6" s="19">
        <f>IF(A6="","",SUM(D6:I6))</f>
        <v/>
      </c>
      <c r="K6" s="32" t="n"/>
      <c r="L6" s="22">
        <f>IF(OR(A6="",K6=""),"",C6*K6)</f>
        <v/>
      </c>
      <c r="M6" s="19">
        <f>IF(A6="","",C6-J6-L6)</f>
        <v/>
      </c>
      <c r="N6" s="23">
        <f>IF(A6="","",IFERROR(M6/C6,0))</f>
        <v/>
      </c>
      <c r="O6" s="33">
        <f>IF(A6="","",IF(N6&lt;Seuil_Rentabilite,"⚠️ Faible","OK"))</f>
        <v/>
      </c>
    </row>
    <row r="7">
      <c r="A7" s="27" t="n"/>
      <c r="B7" s="27" t="inlineStr"/>
      <c r="C7" s="22">
        <f>IF(OR(A7="",B7=""),"",SUMIFS(T_Reservations[Prix total (TTC)],T_Reservations[Bien],B7,T_Reservations[Mois],A7,T_Reservations[Statut],"&lt;&gt;Annulée"))</f>
        <v/>
      </c>
      <c r="D7" s="31" t="n"/>
      <c r="E7" s="31" t="n"/>
      <c r="F7" s="31" t="n"/>
      <c r="G7" s="31" t="n"/>
      <c r="H7" s="31" t="n"/>
      <c r="I7" s="22">
        <f>IF(OR(A7="",B7=""),"",SUMIFS(T_Maintenance[Coût],T_Maintenance[Bien],B7,T_Maintenance[Mois],A7))</f>
        <v/>
      </c>
      <c r="J7" s="19">
        <f>IF(A7="","",SUM(D7:I7))</f>
        <v/>
      </c>
      <c r="K7" s="32" t="n"/>
      <c r="L7" s="22">
        <f>IF(OR(A7="",K7=""),"",C7*K7)</f>
        <v/>
      </c>
      <c r="M7" s="19">
        <f>IF(A7="","",C7-J7-L7)</f>
        <v/>
      </c>
      <c r="N7" s="23">
        <f>IF(A7="","",IFERROR(M7/C7,0))</f>
        <v/>
      </c>
      <c r="O7" s="33">
        <f>IF(A7="","",IF(N7&lt;Seuil_Rentabilite,"⚠️ Faible","OK"))</f>
        <v/>
      </c>
    </row>
    <row r="8">
      <c r="A8" s="27" t="n"/>
      <c r="B8" s="27" t="inlineStr"/>
      <c r="C8" s="22">
        <f>IF(OR(A8="",B8=""),"",SUMIFS(T_Reservations[Prix total (TTC)],T_Reservations[Bien],B8,T_Reservations[Mois],A8,T_Reservations[Statut],"&lt;&gt;Annulée"))</f>
        <v/>
      </c>
      <c r="D8" s="31" t="n"/>
      <c r="E8" s="31" t="n"/>
      <c r="F8" s="31" t="n"/>
      <c r="G8" s="31" t="n"/>
      <c r="H8" s="31" t="n"/>
      <c r="I8" s="22">
        <f>IF(OR(A8="",B8=""),"",SUMIFS(T_Maintenance[Coût],T_Maintenance[Bien],B8,T_Maintenance[Mois],A8))</f>
        <v/>
      </c>
      <c r="J8" s="19">
        <f>IF(A8="","",SUM(D8:I8))</f>
        <v/>
      </c>
      <c r="K8" s="32" t="n"/>
      <c r="L8" s="22">
        <f>IF(OR(A8="",K8=""),"",C8*K8)</f>
        <v/>
      </c>
      <c r="M8" s="19">
        <f>IF(A8="","",C8-J8-L8)</f>
        <v/>
      </c>
      <c r="N8" s="23">
        <f>IF(A8="","",IFERROR(M8/C8,0))</f>
        <v/>
      </c>
      <c r="O8" s="33">
        <f>IF(A8="","",IF(N8&lt;Seuil_Rentabilite,"⚠️ Faible","OK"))</f>
        <v/>
      </c>
    </row>
    <row r="9">
      <c r="A9" s="27" t="n"/>
      <c r="B9" s="27" t="inlineStr"/>
      <c r="C9" s="22">
        <f>IF(OR(A9="",B9=""),"",SUMIFS(T_Reservations[Prix total (TTC)],T_Reservations[Bien],B9,T_Reservations[Mois],A9,T_Reservations[Statut],"&lt;&gt;Annulée"))</f>
        <v/>
      </c>
      <c r="D9" s="31" t="n"/>
      <c r="E9" s="31" t="n"/>
      <c r="F9" s="31" t="n"/>
      <c r="G9" s="31" t="n"/>
      <c r="H9" s="31" t="n"/>
      <c r="I9" s="22">
        <f>IF(OR(A9="",B9=""),"",SUMIFS(T_Maintenance[Coût],T_Maintenance[Bien],B9,T_Maintenance[Mois],A9))</f>
        <v/>
      </c>
      <c r="J9" s="19">
        <f>IF(A9="","",SUM(D9:I9))</f>
        <v/>
      </c>
      <c r="K9" s="32" t="n"/>
      <c r="L9" s="22">
        <f>IF(OR(A9="",K9=""),"",C9*K9)</f>
        <v/>
      </c>
      <c r="M9" s="19">
        <f>IF(A9="","",C9-J9-L9)</f>
        <v/>
      </c>
      <c r="N9" s="23">
        <f>IF(A9="","",IFERROR(M9/C9,0))</f>
        <v/>
      </c>
      <c r="O9" s="33">
        <f>IF(A9="","",IF(N9&lt;Seuil_Rentabilite,"⚠️ Faible","OK"))</f>
        <v/>
      </c>
    </row>
    <row r="10">
      <c r="A10" s="27" t="n"/>
      <c r="B10" s="27" t="inlineStr"/>
      <c r="C10" s="22">
        <f>IF(OR(A10="",B10=""),"",SUMIFS(T_Reservations[Prix total (TTC)],T_Reservations[Bien],B10,T_Reservations[Mois],A10,T_Reservations[Statut],"&lt;&gt;Annulée"))</f>
        <v/>
      </c>
      <c r="D10" s="31" t="n"/>
      <c r="E10" s="31" t="n"/>
      <c r="F10" s="31" t="n"/>
      <c r="G10" s="31" t="n"/>
      <c r="H10" s="31" t="n"/>
      <c r="I10" s="22">
        <f>IF(OR(A10="",B10=""),"",SUMIFS(T_Maintenance[Coût],T_Maintenance[Bien],B10,T_Maintenance[Mois],A10))</f>
        <v/>
      </c>
      <c r="J10" s="19">
        <f>IF(A10="","",SUM(D10:I10))</f>
        <v/>
      </c>
      <c r="K10" s="32" t="n"/>
      <c r="L10" s="22">
        <f>IF(OR(A10="",K10=""),"",C10*K10)</f>
        <v/>
      </c>
      <c r="M10" s="19">
        <f>IF(A10="","",C10-J10-L10)</f>
        <v/>
      </c>
      <c r="N10" s="23">
        <f>IF(A10="","",IFERROR(M10/C10,0))</f>
        <v/>
      </c>
      <c r="O10" s="33">
        <f>IF(A10="","",IF(N10&lt;Seuil_Rentabilite,"⚠️ Faible","OK"))</f>
        <v/>
      </c>
    </row>
    <row r="11">
      <c r="A11" s="27" t="n"/>
      <c r="B11" s="27" t="inlineStr"/>
      <c r="C11" s="22">
        <f>IF(OR(A11="",B11=""),"",SUMIFS(T_Reservations[Prix total (TTC)],T_Reservations[Bien],B11,T_Reservations[Mois],A11,T_Reservations[Statut],"&lt;&gt;Annulée"))</f>
        <v/>
      </c>
      <c r="D11" s="31" t="n"/>
      <c r="E11" s="31" t="n"/>
      <c r="F11" s="31" t="n"/>
      <c r="G11" s="31" t="n"/>
      <c r="H11" s="31" t="n"/>
      <c r="I11" s="22">
        <f>IF(OR(A11="",B11=""),"",SUMIFS(T_Maintenance[Coût],T_Maintenance[Bien],B11,T_Maintenance[Mois],A11))</f>
        <v/>
      </c>
      <c r="J11" s="19">
        <f>IF(A11="","",SUM(D11:I11))</f>
        <v/>
      </c>
      <c r="K11" s="32" t="n"/>
      <c r="L11" s="22">
        <f>IF(OR(A11="",K11=""),"",C11*K11)</f>
        <v/>
      </c>
      <c r="M11" s="19">
        <f>IF(A11="","",C11-J11-L11)</f>
        <v/>
      </c>
      <c r="N11" s="23">
        <f>IF(A11="","",IFERROR(M11/C11,0))</f>
        <v/>
      </c>
      <c r="O11" s="33">
        <f>IF(A11="","",IF(N11&lt;Seuil_Rentabilite,"⚠️ Faible","OK"))</f>
        <v/>
      </c>
    </row>
    <row r="12">
      <c r="A12" s="27" t="n"/>
      <c r="B12" s="27" t="inlineStr"/>
      <c r="C12" s="22">
        <f>IF(OR(A12="",B12=""),"",SUMIFS(T_Reservations[Prix total (TTC)],T_Reservations[Bien],B12,T_Reservations[Mois],A12,T_Reservations[Statut],"&lt;&gt;Annulée"))</f>
        <v/>
      </c>
      <c r="D12" s="31" t="n"/>
      <c r="E12" s="31" t="n"/>
      <c r="F12" s="31" t="n"/>
      <c r="G12" s="31" t="n"/>
      <c r="H12" s="31" t="n"/>
      <c r="I12" s="22">
        <f>IF(OR(A12="",B12=""),"",SUMIFS(T_Maintenance[Coût],T_Maintenance[Bien],B12,T_Maintenance[Mois],A12))</f>
        <v/>
      </c>
      <c r="J12" s="19">
        <f>IF(A12="","",SUM(D12:I12))</f>
        <v/>
      </c>
      <c r="K12" s="32" t="n"/>
      <c r="L12" s="22">
        <f>IF(OR(A12="",K12=""),"",C12*K12)</f>
        <v/>
      </c>
      <c r="M12" s="19">
        <f>IF(A12="","",C12-J12-L12)</f>
        <v/>
      </c>
      <c r="N12" s="23">
        <f>IF(A12="","",IFERROR(M12/C12,0))</f>
        <v/>
      </c>
      <c r="O12" s="33">
        <f>IF(A12="","",IF(N12&lt;Seuil_Rentabilite,"⚠️ Faible","OK"))</f>
        <v/>
      </c>
    </row>
    <row r="13">
      <c r="A13" s="27" t="n"/>
      <c r="B13" s="27" t="inlineStr"/>
      <c r="C13" s="22">
        <f>IF(OR(A13="",B13=""),"",SUMIFS(T_Reservations[Prix total (TTC)],T_Reservations[Bien],B13,T_Reservations[Mois],A13,T_Reservations[Statut],"&lt;&gt;Annulée"))</f>
        <v/>
      </c>
      <c r="D13" s="31" t="n"/>
      <c r="E13" s="31" t="n"/>
      <c r="F13" s="31" t="n"/>
      <c r="G13" s="31" t="n"/>
      <c r="H13" s="31" t="n"/>
      <c r="I13" s="22">
        <f>IF(OR(A13="",B13=""),"",SUMIFS(T_Maintenance[Coût],T_Maintenance[Bien],B13,T_Maintenance[Mois],A13))</f>
        <v/>
      </c>
      <c r="J13" s="19">
        <f>IF(A13="","",SUM(D13:I13))</f>
        <v/>
      </c>
      <c r="K13" s="32" t="n"/>
      <c r="L13" s="22">
        <f>IF(OR(A13="",K13=""),"",C13*K13)</f>
        <v/>
      </c>
      <c r="M13" s="19">
        <f>IF(A13="","",C13-J13-L13)</f>
        <v/>
      </c>
      <c r="N13" s="23">
        <f>IF(A13="","",IFERROR(M13/C13,0))</f>
        <v/>
      </c>
      <c r="O13" s="33">
        <f>IF(A13="","",IF(N13&lt;Seuil_Rentabilite,"⚠️ Faible","OK"))</f>
        <v/>
      </c>
    </row>
    <row r="14">
      <c r="A14" s="27" t="n"/>
      <c r="B14" s="27" t="inlineStr"/>
      <c r="C14" s="22">
        <f>IF(OR(A14="",B14=""),"",SUMIFS(T_Reservations[Prix total (TTC)],T_Reservations[Bien],B14,T_Reservations[Mois],A14,T_Reservations[Statut],"&lt;&gt;Annulée"))</f>
        <v/>
      </c>
      <c r="D14" s="31" t="n"/>
      <c r="E14" s="31" t="n"/>
      <c r="F14" s="31" t="n"/>
      <c r="G14" s="31" t="n"/>
      <c r="H14" s="31" t="n"/>
      <c r="I14" s="22">
        <f>IF(OR(A14="",B14=""),"",SUMIFS(T_Maintenance[Coût],T_Maintenance[Bien],B14,T_Maintenance[Mois],A14))</f>
        <v/>
      </c>
      <c r="J14" s="19">
        <f>IF(A14="","",SUM(D14:I14))</f>
        <v/>
      </c>
      <c r="K14" s="32" t="n"/>
      <c r="L14" s="22">
        <f>IF(OR(A14="",K14=""),"",C14*K14)</f>
        <v/>
      </c>
      <c r="M14" s="19">
        <f>IF(A14="","",C14-J14-L14)</f>
        <v/>
      </c>
      <c r="N14" s="23">
        <f>IF(A14="","",IFERROR(M14/C14,0))</f>
        <v/>
      </c>
      <c r="O14" s="33">
        <f>IF(A14="","",IF(N14&lt;Seuil_Rentabilite,"⚠️ Faible","OK"))</f>
        <v/>
      </c>
    </row>
    <row r="15">
      <c r="A15" s="27" t="n"/>
      <c r="B15" s="27" t="inlineStr"/>
      <c r="C15" s="22">
        <f>IF(OR(A15="",B15=""),"",SUMIFS(T_Reservations[Prix total (TTC)],T_Reservations[Bien],B15,T_Reservations[Mois],A15,T_Reservations[Statut],"&lt;&gt;Annulée"))</f>
        <v/>
      </c>
      <c r="D15" s="31" t="n"/>
      <c r="E15" s="31" t="n"/>
      <c r="F15" s="31" t="n"/>
      <c r="G15" s="31" t="n"/>
      <c r="H15" s="31" t="n"/>
      <c r="I15" s="22">
        <f>IF(OR(A15="",B15=""),"",SUMIFS(T_Maintenance[Coût],T_Maintenance[Bien],B15,T_Maintenance[Mois],A15))</f>
        <v/>
      </c>
      <c r="J15" s="19">
        <f>IF(A15="","",SUM(D15:I15))</f>
        <v/>
      </c>
      <c r="K15" s="32" t="n"/>
      <c r="L15" s="22">
        <f>IF(OR(A15="",K15=""),"",C15*K15)</f>
        <v/>
      </c>
      <c r="M15" s="19">
        <f>IF(A15="","",C15-J15-L15)</f>
        <v/>
      </c>
      <c r="N15" s="23">
        <f>IF(A15="","",IFERROR(M15/C15,0))</f>
        <v/>
      </c>
      <c r="O15" s="33">
        <f>IF(A15="","",IF(N15&lt;Seuil_Rentabilite,"⚠️ Faible","OK"))</f>
        <v/>
      </c>
    </row>
    <row r="16">
      <c r="A16" s="27" t="n"/>
      <c r="B16" s="27" t="inlineStr"/>
      <c r="C16" s="22">
        <f>IF(OR(A16="",B16=""),"",SUMIFS(T_Reservations[Prix total (TTC)],T_Reservations[Bien],B16,T_Reservations[Mois],A16,T_Reservations[Statut],"&lt;&gt;Annulée"))</f>
        <v/>
      </c>
      <c r="D16" s="31" t="n"/>
      <c r="E16" s="31" t="n"/>
      <c r="F16" s="31" t="n"/>
      <c r="G16" s="31" t="n"/>
      <c r="H16" s="31" t="n"/>
      <c r="I16" s="22">
        <f>IF(OR(A16="",B16=""),"",SUMIFS(T_Maintenance[Coût],T_Maintenance[Bien],B16,T_Maintenance[Mois],A16))</f>
        <v/>
      </c>
      <c r="J16" s="19">
        <f>IF(A16="","",SUM(D16:I16))</f>
        <v/>
      </c>
      <c r="K16" s="32" t="n"/>
      <c r="L16" s="22">
        <f>IF(OR(A16="",K16=""),"",C16*K16)</f>
        <v/>
      </c>
      <c r="M16" s="19">
        <f>IF(A16="","",C16-J16-L16)</f>
        <v/>
      </c>
      <c r="N16" s="23">
        <f>IF(A16="","",IFERROR(M16/C16,0))</f>
        <v/>
      </c>
      <c r="O16" s="33">
        <f>IF(A16="","",IF(N16&lt;Seuil_Rentabilite,"⚠️ Faible","OK"))</f>
        <v/>
      </c>
    </row>
    <row r="17">
      <c r="A17" s="27" t="n"/>
      <c r="B17" s="27" t="inlineStr"/>
      <c r="C17" s="22">
        <f>IF(OR(A17="",B17=""),"",SUMIFS(T_Reservations[Prix total (TTC)],T_Reservations[Bien],B17,T_Reservations[Mois],A17,T_Reservations[Statut],"&lt;&gt;Annulée"))</f>
        <v/>
      </c>
      <c r="D17" s="31" t="n"/>
      <c r="E17" s="31" t="n"/>
      <c r="F17" s="31" t="n"/>
      <c r="G17" s="31" t="n"/>
      <c r="H17" s="31" t="n"/>
      <c r="I17" s="22">
        <f>IF(OR(A17="",B17=""),"",SUMIFS(T_Maintenance[Coût],T_Maintenance[Bien],B17,T_Maintenance[Mois],A17))</f>
        <v/>
      </c>
      <c r="J17" s="19">
        <f>IF(A17="","",SUM(D17:I17))</f>
        <v/>
      </c>
      <c r="K17" s="32" t="n"/>
      <c r="L17" s="22">
        <f>IF(OR(A17="",K17=""),"",C17*K17)</f>
        <v/>
      </c>
      <c r="M17" s="19">
        <f>IF(A17="","",C17-J17-L17)</f>
        <v/>
      </c>
      <c r="N17" s="23">
        <f>IF(A17="","",IFERROR(M17/C17,0))</f>
        <v/>
      </c>
      <c r="O17" s="33">
        <f>IF(A17="","",IF(N17&lt;Seuil_Rentabilite,"⚠️ Faible","OK"))</f>
        <v/>
      </c>
    </row>
    <row r="18">
      <c r="A18" s="27" t="n"/>
      <c r="B18" s="27" t="inlineStr"/>
      <c r="C18" s="22">
        <f>IF(OR(A18="",B18=""),"",SUMIFS(T_Reservations[Prix total (TTC)],T_Reservations[Bien],B18,T_Reservations[Mois],A18,T_Reservations[Statut],"&lt;&gt;Annulée"))</f>
        <v/>
      </c>
      <c r="D18" s="31" t="n"/>
      <c r="E18" s="31" t="n"/>
      <c r="F18" s="31" t="n"/>
      <c r="G18" s="31" t="n"/>
      <c r="H18" s="31" t="n"/>
      <c r="I18" s="22">
        <f>IF(OR(A18="",B18=""),"",SUMIFS(T_Maintenance[Coût],T_Maintenance[Bien],B18,T_Maintenance[Mois],A18))</f>
        <v/>
      </c>
      <c r="J18" s="19">
        <f>IF(A18="","",SUM(D18:I18))</f>
        <v/>
      </c>
      <c r="K18" s="32" t="n"/>
      <c r="L18" s="22">
        <f>IF(OR(A18="",K18=""),"",C18*K18)</f>
        <v/>
      </c>
      <c r="M18" s="19">
        <f>IF(A18="","",C18-J18-L18)</f>
        <v/>
      </c>
      <c r="N18" s="23">
        <f>IF(A18="","",IFERROR(M18/C18,0))</f>
        <v/>
      </c>
      <c r="O18" s="33">
        <f>IF(A18="","",IF(N18&lt;Seuil_Rentabilite,"⚠️ Faible","OK"))</f>
        <v/>
      </c>
    </row>
    <row r="19">
      <c r="A19" s="27" t="n"/>
      <c r="B19" s="27" t="inlineStr"/>
      <c r="C19" s="22">
        <f>IF(OR(A19="",B19=""),"",SUMIFS(T_Reservations[Prix total (TTC)],T_Reservations[Bien],B19,T_Reservations[Mois],A19,T_Reservations[Statut],"&lt;&gt;Annulée"))</f>
        <v/>
      </c>
      <c r="D19" s="31" t="n"/>
      <c r="E19" s="31" t="n"/>
      <c r="F19" s="31" t="n"/>
      <c r="G19" s="31" t="n"/>
      <c r="H19" s="31" t="n"/>
      <c r="I19" s="22">
        <f>IF(OR(A19="",B19=""),"",SUMIFS(T_Maintenance[Coût],T_Maintenance[Bien],B19,T_Maintenance[Mois],A19))</f>
        <v/>
      </c>
      <c r="J19" s="19">
        <f>IF(A19="","",SUM(D19:I19))</f>
        <v/>
      </c>
      <c r="K19" s="32" t="n"/>
      <c r="L19" s="22">
        <f>IF(OR(A19="",K19=""),"",C19*K19)</f>
        <v/>
      </c>
      <c r="M19" s="19">
        <f>IF(A19="","",C19-J19-L19)</f>
        <v/>
      </c>
      <c r="N19" s="23">
        <f>IF(A19="","",IFERROR(M19/C19,0))</f>
        <v/>
      </c>
      <c r="O19" s="33">
        <f>IF(A19="","",IF(N19&lt;Seuil_Rentabilite,"⚠️ Faible","OK"))</f>
        <v/>
      </c>
    </row>
    <row r="20">
      <c r="A20" s="27" t="n"/>
      <c r="B20" s="27" t="inlineStr"/>
      <c r="C20" s="22">
        <f>IF(OR(A20="",B20=""),"",SUMIFS(T_Reservations[Prix total (TTC)],T_Reservations[Bien],B20,T_Reservations[Mois],A20,T_Reservations[Statut],"&lt;&gt;Annulée"))</f>
        <v/>
      </c>
      <c r="D20" s="31" t="n"/>
      <c r="E20" s="31" t="n"/>
      <c r="F20" s="31" t="n"/>
      <c r="G20" s="31" t="n"/>
      <c r="H20" s="31" t="n"/>
      <c r="I20" s="22">
        <f>IF(OR(A20="",B20=""),"",SUMIFS(T_Maintenance[Coût],T_Maintenance[Bien],B20,T_Maintenance[Mois],A20))</f>
        <v/>
      </c>
      <c r="J20" s="19">
        <f>IF(A20="","",SUM(D20:I20))</f>
        <v/>
      </c>
      <c r="K20" s="32" t="n"/>
      <c r="L20" s="22">
        <f>IF(OR(A20="",K20=""),"",C20*K20)</f>
        <v/>
      </c>
      <c r="M20" s="19">
        <f>IF(A20="","",C20-J20-L20)</f>
        <v/>
      </c>
      <c r="N20" s="23">
        <f>IF(A20="","",IFERROR(M20/C20,0))</f>
        <v/>
      </c>
      <c r="O20" s="33">
        <f>IF(A20="","",IF(N20&lt;Seuil_Rentabilite,"⚠️ Faible","OK"))</f>
        <v/>
      </c>
    </row>
    <row r="21">
      <c r="A21" s="27" t="n"/>
      <c r="B21" s="27" t="inlineStr"/>
      <c r="C21" s="22">
        <f>IF(OR(A21="",B21=""),"",SUMIFS(T_Reservations[Prix total (TTC)],T_Reservations[Bien],B21,T_Reservations[Mois],A21,T_Reservations[Statut],"&lt;&gt;Annulée"))</f>
        <v/>
      </c>
      <c r="D21" s="31" t="n"/>
      <c r="E21" s="31" t="n"/>
      <c r="F21" s="31" t="n"/>
      <c r="G21" s="31" t="n"/>
      <c r="H21" s="31" t="n"/>
      <c r="I21" s="22">
        <f>IF(OR(A21="",B21=""),"",SUMIFS(T_Maintenance[Coût],T_Maintenance[Bien],B21,T_Maintenance[Mois],A21))</f>
        <v/>
      </c>
      <c r="J21" s="19">
        <f>IF(A21="","",SUM(D21:I21))</f>
        <v/>
      </c>
      <c r="K21" s="32" t="n"/>
      <c r="L21" s="22">
        <f>IF(OR(A21="",K21=""),"",C21*K21)</f>
        <v/>
      </c>
      <c r="M21" s="19">
        <f>IF(A21="","",C21-J21-L21)</f>
        <v/>
      </c>
      <c r="N21" s="23">
        <f>IF(A21="","",IFERROR(M21/C21,0))</f>
        <v/>
      </c>
      <c r="O21" s="33">
        <f>IF(A21="","",IF(N21&lt;Seuil_Rentabilite,"⚠️ Faible","OK"))</f>
        <v/>
      </c>
    </row>
    <row r="22">
      <c r="A22" s="27" t="n"/>
      <c r="B22" s="27" t="inlineStr"/>
      <c r="C22" s="22">
        <f>IF(OR(A22="",B22=""),"",SUMIFS(T_Reservations[Prix total (TTC)],T_Reservations[Bien],B22,T_Reservations[Mois],A22,T_Reservations[Statut],"&lt;&gt;Annulée"))</f>
        <v/>
      </c>
      <c r="D22" s="31" t="n"/>
      <c r="E22" s="31" t="n"/>
      <c r="F22" s="31" t="n"/>
      <c r="G22" s="31" t="n"/>
      <c r="H22" s="31" t="n"/>
      <c r="I22" s="22">
        <f>IF(OR(A22="",B22=""),"",SUMIFS(T_Maintenance[Coût],T_Maintenance[Bien],B22,T_Maintenance[Mois],A22))</f>
        <v/>
      </c>
      <c r="J22" s="19">
        <f>IF(A22="","",SUM(D22:I22))</f>
        <v/>
      </c>
      <c r="K22" s="32" t="n"/>
      <c r="L22" s="22">
        <f>IF(OR(A22="",K22=""),"",C22*K22)</f>
        <v/>
      </c>
      <c r="M22" s="19">
        <f>IF(A22="","",C22-J22-L22)</f>
        <v/>
      </c>
      <c r="N22" s="23">
        <f>IF(A22="","",IFERROR(M22/C22,0))</f>
        <v/>
      </c>
      <c r="O22" s="33">
        <f>IF(A22="","",IF(N22&lt;Seuil_Rentabilite,"⚠️ Faible","OK"))</f>
        <v/>
      </c>
    </row>
    <row r="23">
      <c r="A23" s="27" t="n"/>
      <c r="B23" s="27" t="inlineStr"/>
      <c r="C23" s="22">
        <f>IF(OR(A23="",B23=""),"",SUMIFS(T_Reservations[Prix total (TTC)],T_Reservations[Bien],B23,T_Reservations[Mois],A23,T_Reservations[Statut],"&lt;&gt;Annulée"))</f>
        <v/>
      </c>
      <c r="D23" s="31" t="n"/>
      <c r="E23" s="31" t="n"/>
      <c r="F23" s="31" t="n"/>
      <c r="G23" s="31" t="n"/>
      <c r="H23" s="31" t="n"/>
      <c r="I23" s="22">
        <f>IF(OR(A23="",B23=""),"",SUMIFS(T_Maintenance[Coût],T_Maintenance[Bien],B23,T_Maintenance[Mois],A23))</f>
        <v/>
      </c>
      <c r="J23" s="19">
        <f>IF(A23="","",SUM(D23:I23))</f>
        <v/>
      </c>
      <c r="K23" s="32" t="n"/>
      <c r="L23" s="22">
        <f>IF(OR(A23="",K23=""),"",C23*K23)</f>
        <v/>
      </c>
      <c r="M23" s="19">
        <f>IF(A23="","",C23-J23-L23)</f>
        <v/>
      </c>
      <c r="N23" s="23">
        <f>IF(A23="","",IFERROR(M23/C23,0))</f>
        <v/>
      </c>
      <c r="O23" s="33">
        <f>IF(A23="","",IF(N23&lt;Seuil_Rentabilite,"⚠️ Faible","OK"))</f>
        <v/>
      </c>
    </row>
    <row r="24">
      <c r="A24" s="27" t="n"/>
      <c r="B24" s="27" t="inlineStr"/>
      <c r="C24" s="22">
        <f>IF(OR(A24="",B24=""),"",SUMIFS(T_Reservations[Prix total (TTC)],T_Reservations[Bien],B24,T_Reservations[Mois],A24,T_Reservations[Statut],"&lt;&gt;Annulée"))</f>
        <v/>
      </c>
      <c r="D24" s="31" t="n"/>
      <c r="E24" s="31" t="n"/>
      <c r="F24" s="31" t="n"/>
      <c r="G24" s="31" t="n"/>
      <c r="H24" s="31" t="n"/>
      <c r="I24" s="22">
        <f>IF(OR(A24="",B24=""),"",SUMIFS(T_Maintenance[Coût],T_Maintenance[Bien],B24,T_Maintenance[Mois],A24))</f>
        <v/>
      </c>
      <c r="J24" s="19">
        <f>IF(A24="","",SUM(D24:I24))</f>
        <v/>
      </c>
      <c r="K24" s="32" t="n"/>
      <c r="L24" s="22">
        <f>IF(OR(A24="",K24=""),"",C24*K24)</f>
        <v/>
      </c>
      <c r="M24" s="19">
        <f>IF(A24="","",C24-J24-L24)</f>
        <v/>
      </c>
      <c r="N24" s="23">
        <f>IF(A24="","",IFERROR(M24/C24,0))</f>
        <v/>
      </c>
      <c r="O24" s="33">
        <f>IF(A24="","",IF(N24&lt;Seuil_Rentabilite,"⚠️ Faible","OK"))</f>
        <v/>
      </c>
    </row>
    <row r="25">
      <c r="A25" s="27" t="n"/>
      <c r="B25" s="27" t="inlineStr"/>
      <c r="C25" s="22">
        <f>IF(OR(A25="",B25=""),"",SUMIFS(T_Reservations[Prix total (TTC)],T_Reservations[Bien],B25,T_Reservations[Mois],A25,T_Reservations[Statut],"&lt;&gt;Annulée"))</f>
        <v/>
      </c>
      <c r="D25" s="31" t="n"/>
      <c r="E25" s="31" t="n"/>
      <c r="F25" s="31" t="n"/>
      <c r="G25" s="31" t="n"/>
      <c r="H25" s="31" t="n"/>
      <c r="I25" s="22">
        <f>IF(OR(A25="",B25=""),"",SUMIFS(T_Maintenance[Coût],T_Maintenance[Bien],B25,T_Maintenance[Mois],A25))</f>
        <v/>
      </c>
      <c r="J25" s="19">
        <f>IF(A25="","",SUM(D25:I25))</f>
        <v/>
      </c>
      <c r="K25" s="32" t="n"/>
      <c r="L25" s="22">
        <f>IF(OR(A25="",K25=""),"",C25*K25)</f>
        <v/>
      </c>
      <c r="M25" s="19">
        <f>IF(A25="","",C25-J25-L25)</f>
        <v/>
      </c>
      <c r="N25" s="23">
        <f>IF(A25="","",IFERROR(M25/C25,0))</f>
        <v/>
      </c>
      <c r="O25" s="33">
        <f>IF(A25="","",IF(N25&lt;Seuil_Rentabilite,"⚠️ Faible","OK"))</f>
        <v/>
      </c>
    </row>
    <row r="26">
      <c r="A26" s="27" t="n"/>
      <c r="B26" s="27" t="inlineStr"/>
      <c r="C26" s="22">
        <f>IF(OR(A26="",B26=""),"",SUMIFS(T_Reservations[Prix total (TTC)],T_Reservations[Bien],B26,T_Reservations[Mois],A26,T_Reservations[Statut],"&lt;&gt;Annulée"))</f>
        <v/>
      </c>
      <c r="D26" s="31" t="n"/>
      <c r="E26" s="31" t="n"/>
      <c r="F26" s="31" t="n"/>
      <c r="G26" s="31" t="n"/>
      <c r="H26" s="31" t="n"/>
      <c r="I26" s="22">
        <f>IF(OR(A26="",B26=""),"",SUMIFS(T_Maintenance[Coût],T_Maintenance[Bien],B26,T_Maintenance[Mois],A26))</f>
        <v/>
      </c>
      <c r="J26" s="19">
        <f>IF(A26="","",SUM(D26:I26))</f>
        <v/>
      </c>
      <c r="K26" s="32" t="n"/>
      <c r="L26" s="22">
        <f>IF(OR(A26="",K26=""),"",C26*K26)</f>
        <v/>
      </c>
      <c r="M26" s="19">
        <f>IF(A26="","",C26-J26-L26)</f>
        <v/>
      </c>
      <c r="N26" s="23">
        <f>IF(A26="","",IFERROR(M26/C26,0))</f>
        <v/>
      </c>
      <c r="O26" s="33">
        <f>IF(A26="","",IF(N26&lt;Seuil_Rentabilite,"⚠️ Faible","OK"))</f>
        <v/>
      </c>
    </row>
    <row r="27">
      <c r="A27" s="27" t="n"/>
      <c r="B27" s="27" t="inlineStr"/>
      <c r="C27" s="22">
        <f>IF(OR(A27="",B27=""),"",SUMIFS(T_Reservations[Prix total (TTC)],T_Reservations[Bien],B27,T_Reservations[Mois],A27,T_Reservations[Statut],"&lt;&gt;Annulée"))</f>
        <v/>
      </c>
      <c r="D27" s="31" t="n"/>
      <c r="E27" s="31" t="n"/>
      <c r="F27" s="31" t="n"/>
      <c r="G27" s="31" t="n"/>
      <c r="H27" s="31" t="n"/>
      <c r="I27" s="22">
        <f>IF(OR(A27="",B27=""),"",SUMIFS(T_Maintenance[Coût],T_Maintenance[Bien],B27,T_Maintenance[Mois],A27))</f>
        <v/>
      </c>
      <c r="J27" s="19">
        <f>IF(A27="","",SUM(D27:I27))</f>
        <v/>
      </c>
      <c r="K27" s="32" t="n"/>
      <c r="L27" s="22">
        <f>IF(OR(A27="",K27=""),"",C27*K27)</f>
        <v/>
      </c>
      <c r="M27" s="19">
        <f>IF(A27="","",C27-J27-L27)</f>
        <v/>
      </c>
      <c r="N27" s="23">
        <f>IF(A27="","",IFERROR(M27/C27,0))</f>
        <v/>
      </c>
      <c r="O27" s="33">
        <f>IF(A27="","",IF(N27&lt;Seuil_Rentabilite,"⚠️ Faible","OK"))</f>
        <v/>
      </c>
    </row>
    <row r="28">
      <c r="A28" s="27" t="n"/>
      <c r="B28" s="27" t="inlineStr"/>
      <c r="C28" s="22">
        <f>IF(OR(A28="",B28=""),"",SUMIFS(T_Reservations[Prix total (TTC)],T_Reservations[Bien],B28,T_Reservations[Mois],A28,T_Reservations[Statut],"&lt;&gt;Annulée"))</f>
        <v/>
      </c>
      <c r="D28" s="31" t="n"/>
      <c r="E28" s="31" t="n"/>
      <c r="F28" s="31" t="n"/>
      <c r="G28" s="31" t="n"/>
      <c r="H28" s="31" t="n"/>
      <c r="I28" s="22">
        <f>IF(OR(A28="",B28=""),"",SUMIFS(T_Maintenance[Coût],T_Maintenance[Bien],B28,T_Maintenance[Mois],A28))</f>
        <v/>
      </c>
      <c r="J28" s="19">
        <f>IF(A28="","",SUM(D28:I28))</f>
        <v/>
      </c>
      <c r="K28" s="32" t="n"/>
      <c r="L28" s="22">
        <f>IF(OR(A28="",K28=""),"",C28*K28)</f>
        <v/>
      </c>
      <c r="M28" s="19">
        <f>IF(A28="","",C28-J28-L28)</f>
        <v/>
      </c>
      <c r="N28" s="23">
        <f>IF(A28="","",IFERROR(M28/C28,0))</f>
        <v/>
      </c>
      <c r="O28" s="33">
        <f>IF(A28="","",IF(N28&lt;Seuil_Rentabilite,"⚠️ Faible","OK"))</f>
        <v/>
      </c>
    </row>
    <row r="29">
      <c r="A29" s="27" t="n"/>
      <c r="B29" s="27" t="inlineStr"/>
      <c r="C29" s="22">
        <f>IF(OR(A29="",B29=""),"",SUMIFS(T_Reservations[Prix total (TTC)],T_Reservations[Bien],B29,T_Reservations[Mois],A29,T_Reservations[Statut],"&lt;&gt;Annulée"))</f>
        <v/>
      </c>
      <c r="D29" s="31" t="n"/>
      <c r="E29" s="31" t="n"/>
      <c r="F29" s="31" t="n"/>
      <c r="G29" s="31" t="n"/>
      <c r="H29" s="31" t="n"/>
      <c r="I29" s="22">
        <f>IF(OR(A29="",B29=""),"",SUMIFS(T_Maintenance[Coût],T_Maintenance[Bien],B29,T_Maintenance[Mois],A29))</f>
        <v/>
      </c>
      <c r="J29" s="19">
        <f>IF(A29="","",SUM(D29:I29))</f>
        <v/>
      </c>
      <c r="K29" s="32" t="n"/>
      <c r="L29" s="22">
        <f>IF(OR(A29="",K29=""),"",C29*K29)</f>
        <v/>
      </c>
      <c r="M29" s="19">
        <f>IF(A29="","",C29-J29-L29)</f>
        <v/>
      </c>
      <c r="N29" s="23">
        <f>IF(A29="","",IFERROR(M29/C29,0))</f>
        <v/>
      </c>
      <c r="O29" s="33">
        <f>IF(A29="","",IF(N29&lt;Seuil_Rentabilite,"⚠️ Faible","OK"))</f>
        <v/>
      </c>
    </row>
    <row r="30">
      <c r="A30" s="27" t="n"/>
      <c r="B30" s="27" t="inlineStr"/>
      <c r="C30" s="22">
        <f>IF(OR(A30="",B30=""),"",SUMIFS(T_Reservations[Prix total (TTC)],T_Reservations[Bien],B30,T_Reservations[Mois],A30,T_Reservations[Statut],"&lt;&gt;Annulée"))</f>
        <v/>
      </c>
      <c r="D30" s="31" t="n"/>
      <c r="E30" s="31" t="n"/>
      <c r="F30" s="31" t="n"/>
      <c r="G30" s="31" t="n"/>
      <c r="H30" s="31" t="n"/>
      <c r="I30" s="22">
        <f>IF(OR(A30="",B30=""),"",SUMIFS(T_Maintenance[Coût],T_Maintenance[Bien],B30,T_Maintenance[Mois],A30))</f>
        <v/>
      </c>
      <c r="J30" s="19">
        <f>IF(A30="","",SUM(D30:I30))</f>
        <v/>
      </c>
      <c r="K30" s="32" t="n"/>
      <c r="L30" s="22">
        <f>IF(OR(A30="",K30=""),"",C30*K30)</f>
        <v/>
      </c>
      <c r="M30" s="19">
        <f>IF(A30="","",C30-J30-L30)</f>
        <v/>
      </c>
      <c r="N30" s="23">
        <f>IF(A30="","",IFERROR(M30/C30,0))</f>
        <v/>
      </c>
      <c r="O30" s="33">
        <f>IF(A30="","",IF(N30&lt;Seuil_Rentabilite,"⚠️ Faible","OK"))</f>
        <v/>
      </c>
    </row>
    <row r="31">
      <c r="A31" s="27" t="n"/>
      <c r="B31" s="27" t="inlineStr"/>
      <c r="C31" s="22">
        <f>IF(OR(A31="",B31=""),"",SUMIFS(T_Reservations[Prix total (TTC)],T_Reservations[Bien],B31,T_Reservations[Mois],A31,T_Reservations[Statut],"&lt;&gt;Annulée"))</f>
        <v/>
      </c>
      <c r="D31" s="31" t="n"/>
      <c r="E31" s="31" t="n"/>
      <c r="F31" s="31" t="n"/>
      <c r="G31" s="31" t="n"/>
      <c r="H31" s="31" t="n"/>
      <c r="I31" s="22">
        <f>IF(OR(A31="",B31=""),"",SUMIFS(T_Maintenance[Coût],T_Maintenance[Bien],B31,T_Maintenance[Mois],A31))</f>
        <v/>
      </c>
      <c r="J31" s="19">
        <f>IF(A31="","",SUM(D31:I31))</f>
        <v/>
      </c>
      <c r="K31" s="32" t="n"/>
      <c r="L31" s="22">
        <f>IF(OR(A31="",K31=""),"",C31*K31)</f>
        <v/>
      </c>
      <c r="M31" s="19">
        <f>IF(A31="","",C31-J31-L31)</f>
        <v/>
      </c>
      <c r="N31" s="23">
        <f>IF(A31="","",IFERROR(M31/C31,0))</f>
        <v/>
      </c>
      <c r="O31" s="33">
        <f>IF(A31="","",IF(N31&lt;Seuil_Rentabilite,"⚠️ Faible","OK"))</f>
        <v/>
      </c>
    </row>
    <row r="32">
      <c r="A32" s="27" t="n"/>
      <c r="B32" s="27" t="inlineStr"/>
      <c r="C32" s="22">
        <f>IF(OR(A32="",B32=""),"",SUMIFS(T_Reservations[Prix total (TTC)],T_Reservations[Bien],B32,T_Reservations[Mois],A32,T_Reservations[Statut],"&lt;&gt;Annulée"))</f>
        <v/>
      </c>
      <c r="D32" s="31" t="n"/>
      <c r="E32" s="31" t="n"/>
      <c r="F32" s="31" t="n"/>
      <c r="G32" s="31" t="n"/>
      <c r="H32" s="31" t="n"/>
      <c r="I32" s="22">
        <f>IF(OR(A32="",B32=""),"",SUMIFS(T_Maintenance[Coût],T_Maintenance[Bien],B32,T_Maintenance[Mois],A32))</f>
        <v/>
      </c>
      <c r="J32" s="19">
        <f>IF(A32="","",SUM(D32:I32))</f>
        <v/>
      </c>
      <c r="K32" s="32" t="n"/>
      <c r="L32" s="22">
        <f>IF(OR(A32="",K32=""),"",C32*K32)</f>
        <v/>
      </c>
      <c r="M32" s="19">
        <f>IF(A32="","",C32-J32-L32)</f>
        <v/>
      </c>
      <c r="N32" s="23">
        <f>IF(A32="","",IFERROR(M32/C32,0))</f>
        <v/>
      </c>
      <c r="O32" s="33">
        <f>IF(A32="","",IF(N32&lt;Seuil_Rentabilite,"⚠️ Faible","OK"))</f>
        <v/>
      </c>
    </row>
    <row r="33">
      <c r="A33" s="27" t="n"/>
      <c r="B33" s="27" t="inlineStr"/>
      <c r="C33" s="22">
        <f>IF(OR(A33="",B33=""),"",SUMIFS(T_Reservations[Prix total (TTC)],T_Reservations[Bien],B33,T_Reservations[Mois],A33,T_Reservations[Statut],"&lt;&gt;Annulée"))</f>
        <v/>
      </c>
      <c r="D33" s="31" t="n"/>
      <c r="E33" s="31" t="n"/>
      <c r="F33" s="31" t="n"/>
      <c r="G33" s="31" t="n"/>
      <c r="H33" s="31" t="n"/>
      <c r="I33" s="22">
        <f>IF(OR(A33="",B33=""),"",SUMIFS(T_Maintenance[Coût],T_Maintenance[Bien],B33,T_Maintenance[Mois],A33))</f>
        <v/>
      </c>
      <c r="J33" s="19">
        <f>IF(A33="","",SUM(D33:I33))</f>
        <v/>
      </c>
      <c r="K33" s="32" t="n"/>
      <c r="L33" s="22">
        <f>IF(OR(A33="",K33=""),"",C33*K33)</f>
        <v/>
      </c>
      <c r="M33" s="19">
        <f>IF(A33="","",C33-J33-L33)</f>
        <v/>
      </c>
      <c r="N33" s="23">
        <f>IF(A33="","",IFERROR(M33/C33,0))</f>
        <v/>
      </c>
      <c r="O33" s="33">
        <f>IF(A33="","",IF(N33&lt;Seuil_Rentabilite,"⚠️ Faible","OK"))</f>
        <v/>
      </c>
    </row>
    <row r="34">
      <c r="A34" s="27" t="n"/>
      <c r="B34" s="27" t="inlineStr"/>
      <c r="C34" s="22">
        <f>IF(OR(A34="",B34=""),"",SUMIFS(T_Reservations[Prix total (TTC)],T_Reservations[Bien],B34,T_Reservations[Mois],A34,T_Reservations[Statut],"&lt;&gt;Annulée"))</f>
        <v/>
      </c>
      <c r="D34" s="31" t="n"/>
      <c r="E34" s="31" t="n"/>
      <c r="F34" s="31" t="n"/>
      <c r="G34" s="31" t="n"/>
      <c r="H34" s="31" t="n"/>
      <c r="I34" s="22">
        <f>IF(OR(A34="",B34=""),"",SUMIFS(T_Maintenance[Coût],T_Maintenance[Bien],B34,T_Maintenance[Mois],A34))</f>
        <v/>
      </c>
      <c r="J34" s="19">
        <f>IF(A34="","",SUM(D34:I34))</f>
        <v/>
      </c>
      <c r="K34" s="32" t="n"/>
      <c r="L34" s="22">
        <f>IF(OR(A34="",K34=""),"",C34*K34)</f>
        <v/>
      </c>
      <c r="M34" s="19">
        <f>IF(A34="","",C34-J34-L34)</f>
        <v/>
      </c>
      <c r="N34" s="23">
        <f>IF(A34="","",IFERROR(M34/C34,0))</f>
        <v/>
      </c>
      <c r="O34" s="33">
        <f>IF(A34="","",IF(N34&lt;Seuil_Rentabilite,"⚠️ Faible","OK"))</f>
        <v/>
      </c>
    </row>
    <row r="35">
      <c r="A35" s="27" t="n"/>
      <c r="B35" s="27" t="inlineStr"/>
      <c r="C35" s="22">
        <f>IF(OR(A35="",B35=""),"",SUMIFS(T_Reservations[Prix total (TTC)],T_Reservations[Bien],B35,T_Reservations[Mois],A35,T_Reservations[Statut],"&lt;&gt;Annulée"))</f>
        <v/>
      </c>
      <c r="D35" s="31" t="n"/>
      <c r="E35" s="31" t="n"/>
      <c r="F35" s="31" t="n"/>
      <c r="G35" s="31" t="n"/>
      <c r="H35" s="31" t="n"/>
      <c r="I35" s="22">
        <f>IF(OR(A35="",B35=""),"",SUMIFS(T_Maintenance[Coût],T_Maintenance[Bien],B35,T_Maintenance[Mois],A35))</f>
        <v/>
      </c>
      <c r="J35" s="19">
        <f>IF(A35="","",SUM(D35:I35))</f>
        <v/>
      </c>
      <c r="K35" s="32" t="n"/>
      <c r="L35" s="22">
        <f>IF(OR(A35="",K35=""),"",C35*K35)</f>
        <v/>
      </c>
      <c r="M35" s="19">
        <f>IF(A35="","",C35-J35-L35)</f>
        <v/>
      </c>
      <c r="N35" s="23">
        <f>IF(A35="","",IFERROR(M35/C35,0))</f>
        <v/>
      </c>
      <c r="O35" s="33">
        <f>IF(A35="","",IF(N35&lt;Seuil_Rentabilite,"⚠️ Faible","OK"))</f>
        <v/>
      </c>
    </row>
    <row r="36">
      <c r="A36" s="27" t="n"/>
      <c r="B36" s="27" t="inlineStr"/>
      <c r="C36" s="22">
        <f>IF(OR(A36="",B36=""),"",SUMIFS(T_Reservations[Prix total (TTC)],T_Reservations[Bien],B36,T_Reservations[Mois],A36,T_Reservations[Statut],"&lt;&gt;Annulée"))</f>
        <v/>
      </c>
      <c r="D36" s="31" t="n"/>
      <c r="E36" s="31" t="n"/>
      <c r="F36" s="31" t="n"/>
      <c r="G36" s="31" t="n"/>
      <c r="H36" s="31" t="n"/>
      <c r="I36" s="22">
        <f>IF(OR(A36="",B36=""),"",SUMIFS(T_Maintenance[Coût],T_Maintenance[Bien],B36,T_Maintenance[Mois],A36))</f>
        <v/>
      </c>
      <c r="J36" s="19">
        <f>IF(A36="","",SUM(D36:I36))</f>
        <v/>
      </c>
      <c r="K36" s="32" t="n"/>
      <c r="L36" s="22">
        <f>IF(OR(A36="",K36=""),"",C36*K36)</f>
        <v/>
      </c>
      <c r="M36" s="19">
        <f>IF(A36="","",C36-J36-L36)</f>
        <v/>
      </c>
      <c r="N36" s="23">
        <f>IF(A36="","",IFERROR(M36/C36,0))</f>
        <v/>
      </c>
      <c r="O36" s="33">
        <f>IF(A36="","",IF(N36&lt;Seuil_Rentabilite,"⚠️ Faible","OK"))</f>
        <v/>
      </c>
    </row>
    <row r="37">
      <c r="A37" s="27" t="n"/>
      <c r="B37" s="27" t="inlineStr"/>
      <c r="C37" s="22">
        <f>IF(OR(A37="",B37=""),"",SUMIFS(T_Reservations[Prix total (TTC)],T_Reservations[Bien],B37,T_Reservations[Mois],A37,T_Reservations[Statut],"&lt;&gt;Annulée"))</f>
        <v/>
      </c>
      <c r="D37" s="31" t="n"/>
      <c r="E37" s="31" t="n"/>
      <c r="F37" s="31" t="n"/>
      <c r="G37" s="31" t="n"/>
      <c r="H37" s="31" t="n"/>
      <c r="I37" s="22">
        <f>IF(OR(A37="",B37=""),"",SUMIFS(T_Maintenance[Coût],T_Maintenance[Bien],B37,T_Maintenance[Mois],A37))</f>
        <v/>
      </c>
      <c r="J37" s="19">
        <f>IF(A37="","",SUM(D37:I37))</f>
        <v/>
      </c>
      <c r="K37" s="32" t="n"/>
      <c r="L37" s="22">
        <f>IF(OR(A37="",K37=""),"",C37*K37)</f>
        <v/>
      </c>
      <c r="M37" s="19">
        <f>IF(A37="","",C37-J37-L37)</f>
        <v/>
      </c>
      <c r="N37" s="23">
        <f>IF(A37="","",IFERROR(M37/C37,0))</f>
        <v/>
      </c>
      <c r="O37" s="33">
        <f>IF(A37="","",IF(N37&lt;Seuil_Rentabilite,"⚠️ Faible","OK"))</f>
        <v/>
      </c>
    </row>
    <row r="38">
      <c r="A38" s="27" t="n"/>
      <c r="B38" s="27" t="inlineStr"/>
      <c r="C38" s="22">
        <f>IF(OR(A38="",B38=""),"",SUMIFS(T_Reservations[Prix total (TTC)],T_Reservations[Bien],B38,T_Reservations[Mois],A38,T_Reservations[Statut],"&lt;&gt;Annulée"))</f>
        <v/>
      </c>
      <c r="D38" s="31" t="n"/>
      <c r="E38" s="31" t="n"/>
      <c r="F38" s="31" t="n"/>
      <c r="G38" s="31" t="n"/>
      <c r="H38" s="31" t="n"/>
      <c r="I38" s="22">
        <f>IF(OR(A38="",B38=""),"",SUMIFS(T_Maintenance[Coût],T_Maintenance[Bien],B38,T_Maintenance[Mois],A38))</f>
        <v/>
      </c>
      <c r="J38" s="19">
        <f>IF(A38="","",SUM(D38:I38))</f>
        <v/>
      </c>
      <c r="K38" s="32" t="n"/>
      <c r="L38" s="22">
        <f>IF(OR(A38="",K38=""),"",C38*K38)</f>
        <v/>
      </c>
      <c r="M38" s="19">
        <f>IF(A38="","",C38-J38-L38)</f>
        <v/>
      </c>
      <c r="N38" s="23">
        <f>IF(A38="","",IFERROR(M38/C38,0))</f>
        <v/>
      </c>
      <c r="O38" s="33">
        <f>IF(A38="","",IF(N38&lt;Seuil_Rentabilite,"⚠️ Faible","OK"))</f>
        <v/>
      </c>
    </row>
    <row r="39">
      <c r="A39" s="27" t="n"/>
      <c r="B39" s="27" t="inlineStr"/>
      <c r="C39" s="22">
        <f>IF(OR(A39="",B39=""),"",SUMIFS(T_Reservations[Prix total (TTC)],T_Reservations[Bien],B39,T_Reservations[Mois],A39,T_Reservations[Statut],"&lt;&gt;Annulée"))</f>
        <v/>
      </c>
      <c r="D39" s="31" t="n"/>
      <c r="E39" s="31" t="n"/>
      <c r="F39" s="31" t="n"/>
      <c r="G39" s="31" t="n"/>
      <c r="H39" s="31" t="n"/>
      <c r="I39" s="22">
        <f>IF(OR(A39="",B39=""),"",SUMIFS(T_Maintenance[Coût],T_Maintenance[Bien],B39,T_Maintenance[Mois],A39))</f>
        <v/>
      </c>
      <c r="J39" s="19">
        <f>IF(A39="","",SUM(D39:I39))</f>
        <v/>
      </c>
      <c r="K39" s="32" t="n"/>
      <c r="L39" s="22">
        <f>IF(OR(A39="",K39=""),"",C39*K39)</f>
        <v/>
      </c>
      <c r="M39" s="19">
        <f>IF(A39="","",C39-J39-L39)</f>
        <v/>
      </c>
      <c r="N39" s="23">
        <f>IF(A39="","",IFERROR(M39/C39,0))</f>
        <v/>
      </c>
      <c r="O39" s="33">
        <f>IF(A39="","",IF(N39&lt;Seuil_Rentabilite,"⚠️ Faible","OK"))</f>
        <v/>
      </c>
    </row>
    <row r="40">
      <c r="A40" s="27" t="n"/>
      <c r="B40" s="27" t="inlineStr"/>
      <c r="C40" s="22">
        <f>IF(OR(A40="",B40=""),"",SUMIFS(T_Reservations[Prix total (TTC)],T_Reservations[Bien],B40,T_Reservations[Mois],A40,T_Reservations[Statut],"&lt;&gt;Annulée"))</f>
        <v/>
      </c>
      <c r="D40" s="31" t="n"/>
      <c r="E40" s="31" t="n"/>
      <c r="F40" s="31" t="n"/>
      <c r="G40" s="31" t="n"/>
      <c r="H40" s="31" t="n"/>
      <c r="I40" s="22">
        <f>IF(OR(A40="",B40=""),"",SUMIFS(T_Maintenance[Coût],T_Maintenance[Bien],B40,T_Maintenance[Mois],A40))</f>
        <v/>
      </c>
      <c r="J40" s="19">
        <f>IF(A40="","",SUM(D40:I40))</f>
        <v/>
      </c>
      <c r="K40" s="32" t="n"/>
      <c r="L40" s="22">
        <f>IF(OR(A40="",K40=""),"",C40*K40)</f>
        <v/>
      </c>
      <c r="M40" s="19">
        <f>IF(A40="","",C40-J40-L40)</f>
        <v/>
      </c>
      <c r="N40" s="23">
        <f>IF(A40="","",IFERROR(M40/C40,0))</f>
        <v/>
      </c>
      <c r="O40" s="33">
        <f>IF(A40="","",IF(N40&lt;Seuil_Rentabilite,"⚠️ Faible","OK"))</f>
        <v/>
      </c>
    </row>
    <row r="41">
      <c r="A41" s="27" t="n"/>
      <c r="B41" s="27" t="inlineStr"/>
      <c r="C41" s="22">
        <f>IF(OR(A41="",B41=""),"",SUMIFS(T_Reservations[Prix total (TTC)],T_Reservations[Bien],B41,T_Reservations[Mois],A41,T_Reservations[Statut],"&lt;&gt;Annulée"))</f>
        <v/>
      </c>
      <c r="D41" s="31" t="n"/>
      <c r="E41" s="31" t="n"/>
      <c r="F41" s="31" t="n"/>
      <c r="G41" s="31" t="n"/>
      <c r="H41" s="31" t="n"/>
      <c r="I41" s="22">
        <f>IF(OR(A41="",B41=""),"",SUMIFS(T_Maintenance[Coût],T_Maintenance[Bien],B41,T_Maintenance[Mois],A41))</f>
        <v/>
      </c>
      <c r="J41" s="19">
        <f>IF(A41="","",SUM(D41:I41))</f>
        <v/>
      </c>
      <c r="K41" s="32" t="n"/>
      <c r="L41" s="22">
        <f>IF(OR(A41="",K41=""),"",C41*K41)</f>
        <v/>
      </c>
      <c r="M41" s="19">
        <f>IF(A41="","",C41-J41-L41)</f>
        <v/>
      </c>
      <c r="N41" s="23">
        <f>IF(A41="","",IFERROR(M41/C41,0))</f>
        <v/>
      </c>
      <c r="O41" s="33">
        <f>IF(A41="","",IF(N41&lt;Seuil_Rentabilite,"⚠️ Faible","OK"))</f>
        <v/>
      </c>
    </row>
    <row r="42">
      <c r="A42" s="27" t="n"/>
      <c r="B42" s="27" t="inlineStr"/>
      <c r="C42" s="22">
        <f>IF(OR(A42="",B42=""),"",SUMIFS(T_Reservations[Prix total (TTC)],T_Reservations[Bien],B42,T_Reservations[Mois],A42,T_Reservations[Statut],"&lt;&gt;Annulée"))</f>
        <v/>
      </c>
      <c r="D42" s="31" t="n"/>
      <c r="E42" s="31" t="n"/>
      <c r="F42" s="31" t="n"/>
      <c r="G42" s="31" t="n"/>
      <c r="H42" s="31" t="n"/>
      <c r="I42" s="22">
        <f>IF(OR(A42="",B42=""),"",SUMIFS(T_Maintenance[Coût],T_Maintenance[Bien],B42,T_Maintenance[Mois],A42))</f>
        <v/>
      </c>
      <c r="J42" s="19">
        <f>IF(A42="","",SUM(D42:I42))</f>
        <v/>
      </c>
      <c r="K42" s="32" t="n"/>
      <c r="L42" s="22">
        <f>IF(OR(A42="",K42=""),"",C42*K42)</f>
        <v/>
      </c>
      <c r="M42" s="19">
        <f>IF(A42="","",C42-J42-L42)</f>
        <v/>
      </c>
      <c r="N42" s="23">
        <f>IF(A42="","",IFERROR(M42/C42,0))</f>
        <v/>
      </c>
      <c r="O42" s="33">
        <f>IF(A42="","",IF(N42&lt;Seuil_Rentabilite,"⚠️ Faible","OK"))</f>
        <v/>
      </c>
    </row>
    <row r="43">
      <c r="A43" s="27" t="n"/>
      <c r="B43" s="27" t="inlineStr"/>
      <c r="C43" s="22">
        <f>IF(OR(A43="",B43=""),"",SUMIFS(T_Reservations[Prix total (TTC)],T_Reservations[Bien],B43,T_Reservations[Mois],A43,T_Reservations[Statut],"&lt;&gt;Annulée"))</f>
        <v/>
      </c>
      <c r="D43" s="31" t="n"/>
      <c r="E43" s="31" t="n"/>
      <c r="F43" s="31" t="n"/>
      <c r="G43" s="31" t="n"/>
      <c r="H43" s="31" t="n"/>
      <c r="I43" s="22">
        <f>IF(OR(A43="",B43=""),"",SUMIFS(T_Maintenance[Coût],T_Maintenance[Bien],B43,T_Maintenance[Mois],A43))</f>
        <v/>
      </c>
      <c r="J43" s="19">
        <f>IF(A43="","",SUM(D43:I43))</f>
        <v/>
      </c>
      <c r="K43" s="32" t="n"/>
      <c r="L43" s="22">
        <f>IF(OR(A43="",K43=""),"",C43*K43)</f>
        <v/>
      </c>
      <c r="M43" s="19">
        <f>IF(A43="","",C43-J43-L43)</f>
        <v/>
      </c>
      <c r="N43" s="23">
        <f>IF(A43="","",IFERROR(M43/C43,0))</f>
        <v/>
      </c>
      <c r="O43" s="33">
        <f>IF(A43="","",IF(N43&lt;Seuil_Rentabilite,"⚠️ Faible","OK"))</f>
        <v/>
      </c>
    </row>
    <row r="44">
      <c r="A44" s="27" t="n"/>
      <c r="B44" s="27" t="inlineStr"/>
      <c r="C44" s="22">
        <f>IF(OR(A44="",B44=""),"",SUMIFS(T_Reservations[Prix total (TTC)],T_Reservations[Bien],B44,T_Reservations[Mois],A44,T_Reservations[Statut],"&lt;&gt;Annulée"))</f>
        <v/>
      </c>
      <c r="D44" s="31" t="n"/>
      <c r="E44" s="31" t="n"/>
      <c r="F44" s="31" t="n"/>
      <c r="G44" s="31" t="n"/>
      <c r="H44" s="31" t="n"/>
      <c r="I44" s="22">
        <f>IF(OR(A44="",B44=""),"",SUMIFS(T_Maintenance[Coût],T_Maintenance[Bien],B44,T_Maintenance[Mois],A44))</f>
        <v/>
      </c>
      <c r="J44" s="19">
        <f>IF(A44="","",SUM(D44:I44))</f>
        <v/>
      </c>
      <c r="K44" s="32" t="n"/>
      <c r="L44" s="22">
        <f>IF(OR(A44="",K44=""),"",C44*K44)</f>
        <v/>
      </c>
      <c r="M44" s="19">
        <f>IF(A44="","",C44-J44-L44)</f>
        <v/>
      </c>
      <c r="N44" s="23">
        <f>IF(A44="","",IFERROR(M44/C44,0))</f>
        <v/>
      </c>
      <c r="O44" s="33">
        <f>IF(A44="","",IF(N44&lt;Seuil_Rentabilite,"⚠️ Faible","OK"))</f>
        <v/>
      </c>
    </row>
    <row r="45">
      <c r="A45" s="27" t="n"/>
      <c r="B45" s="27" t="inlineStr"/>
      <c r="C45" s="22">
        <f>IF(OR(A45="",B45=""),"",SUMIFS(T_Reservations[Prix total (TTC)],T_Reservations[Bien],B45,T_Reservations[Mois],A45,T_Reservations[Statut],"&lt;&gt;Annulée"))</f>
        <v/>
      </c>
      <c r="D45" s="31" t="n"/>
      <c r="E45" s="31" t="n"/>
      <c r="F45" s="31" t="n"/>
      <c r="G45" s="31" t="n"/>
      <c r="H45" s="31" t="n"/>
      <c r="I45" s="22">
        <f>IF(OR(A45="",B45=""),"",SUMIFS(T_Maintenance[Coût],T_Maintenance[Bien],B45,T_Maintenance[Mois],A45))</f>
        <v/>
      </c>
      <c r="J45" s="19">
        <f>IF(A45="","",SUM(D45:I45))</f>
        <v/>
      </c>
      <c r="K45" s="32" t="n"/>
      <c r="L45" s="22">
        <f>IF(OR(A45="",K45=""),"",C45*K45)</f>
        <v/>
      </c>
      <c r="M45" s="19">
        <f>IF(A45="","",C45-J45-L45)</f>
        <v/>
      </c>
      <c r="N45" s="23">
        <f>IF(A45="","",IFERROR(M45/C45,0))</f>
        <v/>
      </c>
      <c r="O45" s="33">
        <f>IF(A45="","",IF(N45&lt;Seuil_Rentabilite,"⚠️ Faible","OK"))</f>
        <v/>
      </c>
    </row>
    <row r="46">
      <c r="A46" s="27" t="n"/>
      <c r="B46" s="27" t="inlineStr"/>
      <c r="C46" s="22">
        <f>IF(OR(A46="",B46=""),"",SUMIFS(T_Reservations[Prix total (TTC)],T_Reservations[Bien],B46,T_Reservations[Mois],A46,T_Reservations[Statut],"&lt;&gt;Annulée"))</f>
        <v/>
      </c>
      <c r="D46" s="31" t="n"/>
      <c r="E46" s="31" t="n"/>
      <c r="F46" s="31" t="n"/>
      <c r="G46" s="31" t="n"/>
      <c r="H46" s="31" t="n"/>
      <c r="I46" s="22">
        <f>IF(OR(A46="",B46=""),"",SUMIFS(T_Maintenance[Coût],T_Maintenance[Bien],B46,T_Maintenance[Mois],A46))</f>
        <v/>
      </c>
      <c r="J46" s="19">
        <f>IF(A46="","",SUM(D46:I46))</f>
        <v/>
      </c>
      <c r="K46" s="32" t="n"/>
      <c r="L46" s="22">
        <f>IF(OR(A46="",K46=""),"",C46*K46)</f>
        <v/>
      </c>
      <c r="M46" s="19">
        <f>IF(A46="","",C46-J46-L46)</f>
        <v/>
      </c>
      <c r="N46" s="23">
        <f>IF(A46="","",IFERROR(M46/C46,0))</f>
        <v/>
      </c>
      <c r="O46" s="33">
        <f>IF(A46="","",IF(N46&lt;Seuil_Rentabilite,"⚠️ Faible","OK"))</f>
        <v/>
      </c>
    </row>
    <row r="47">
      <c r="A47" s="27" t="n"/>
      <c r="B47" s="27" t="inlineStr"/>
      <c r="C47" s="22">
        <f>IF(OR(A47="",B47=""),"",SUMIFS(T_Reservations[Prix total (TTC)],T_Reservations[Bien],B47,T_Reservations[Mois],A47,T_Reservations[Statut],"&lt;&gt;Annulée"))</f>
        <v/>
      </c>
      <c r="D47" s="31" t="n"/>
      <c r="E47" s="31" t="n"/>
      <c r="F47" s="31" t="n"/>
      <c r="G47" s="31" t="n"/>
      <c r="H47" s="31" t="n"/>
      <c r="I47" s="22">
        <f>IF(OR(A47="",B47=""),"",SUMIFS(T_Maintenance[Coût],T_Maintenance[Bien],B47,T_Maintenance[Mois],A47))</f>
        <v/>
      </c>
      <c r="J47" s="19">
        <f>IF(A47="","",SUM(D47:I47))</f>
        <v/>
      </c>
      <c r="K47" s="32" t="n"/>
      <c r="L47" s="22">
        <f>IF(OR(A47="",K47=""),"",C47*K47)</f>
        <v/>
      </c>
      <c r="M47" s="19">
        <f>IF(A47="","",C47-J47-L47)</f>
        <v/>
      </c>
      <c r="N47" s="23">
        <f>IF(A47="","",IFERROR(M47/C47,0))</f>
        <v/>
      </c>
      <c r="O47" s="33">
        <f>IF(A47="","",IF(N47&lt;Seuil_Rentabilite,"⚠️ Faible","OK"))</f>
        <v/>
      </c>
    </row>
    <row r="48">
      <c r="A48" s="27" t="n"/>
      <c r="B48" s="27" t="inlineStr"/>
      <c r="C48" s="22">
        <f>IF(OR(A48="",B48=""),"",SUMIFS(T_Reservations[Prix total (TTC)],T_Reservations[Bien],B48,T_Reservations[Mois],A48,T_Reservations[Statut],"&lt;&gt;Annulée"))</f>
        <v/>
      </c>
      <c r="D48" s="31" t="n"/>
      <c r="E48" s="31" t="n"/>
      <c r="F48" s="31" t="n"/>
      <c r="G48" s="31" t="n"/>
      <c r="H48" s="31" t="n"/>
      <c r="I48" s="22">
        <f>IF(OR(A48="",B48=""),"",SUMIFS(T_Maintenance[Coût],T_Maintenance[Bien],B48,T_Maintenance[Mois],A48))</f>
        <v/>
      </c>
      <c r="J48" s="19">
        <f>IF(A48="","",SUM(D48:I48))</f>
        <v/>
      </c>
      <c r="K48" s="32" t="n"/>
      <c r="L48" s="22">
        <f>IF(OR(A48="",K48=""),"",C48*K48)</f>
        <v/>
      </c>
      <c r="M48" s="19">
        <f>IF(A48="","",C48-J48-L48)</f>
        <v/>
      </c>
      <c r="N48" s="23">
        <f>IF(A48="","",IFERROR(M48/C48,0))</f>
        <v/>
      </c>
      <c r="O48" s="33">
        <f>IF(A48="","",IF(N48&lt;Seuil_Rentabilite,"⚠️ Faible","OK"))</f>
        <v/>
      </c>
    </row>
    <row r="49">
      <c r="A49" s="27" t="n"/>
      <c r="B49" s="27" t="inlineStr"/>
      <c r="C49" s="22">
        <f>IF(OR(A49="",B49=""),"",SUMIFS(T_Reservations[Prix total (TTC)],T_Reservations[Bien],B49,T_Reservations[Mois],A49,T_Reservations[Statut],"&lt;&gt;Annulée"))</f>
        <v/>
      </c>
      <c r="D49" s="31" t="n"/>
      <c r="E49" s="31" t="n"/>
      <c r="F49" s="31" t="n"/>
      <c r="G49" s="31" t="n"/>
      <c r="H49" s="31" t="n"/>
      <c r="I49" s="22">
        <f>IF(OR(A49="",B49=""),"",SUMIFS(T_Maintenance[Coût],T_Maintenance[Bien],B49,T_Maintenance[Mois],A49))</f>
        <v/>
      </c>
      <c r="J49" s="19">
        <f>IF(A49="","",SUM(D49:I49))</f>
        <v/>
      </c>
      <c r="K49" s="32" t="n"/>
      <c r="L49" s="22">
        <f>IF(OR(A49="",K49=""),"",C49*K49)</f>
        <v/>
      </c>
      <c r="M49" s="19">
        <f>IF(A49="","",C49-J49-L49)</f>
        <v/>
      </c>
      <c r="N49" s="23">
        <f>IF(A49="","",IFERROR(M49/C49,0))</f>
        <v/>
      </c>
      <c r="O49" s="33">
        <f>IF(A49="","",IF(N49&lt;Seuil_Rentabilite,"⚠️ Faible","OK"))</f>
        <v/>
      </c>
    </row>
    <row r="50">
      <c r="A50" s="27" t="n"/>
      <c r="B50" s="27" t="inlineStr"/>
      <c r="C50" s="22">
        <f>IF(OR(A50="",B50=""),"",SUMIFS(T_Reservations[Prix total (TTC)],T_Reservations[Bien],B50,T_Reservations[Mois],A50,T_Reservations[Statut],"&lt;&gt;Annulée"))</f>
        <v/>
      </c>
      <c r="D50" s="31" t="n"/>
      <c r="E50" s="31" t="n"/>
      <c r="F50" s="31" t="n"/>
      <c r="G50" s="31" t="n"/>
      <c r="H50" s="31" t="n"/>
      <c r="I50" s="22">
        <f>IF(OR(A50="",B50=""),"",SUMIFS(T_Maintenance[Coût],T_Maintenance[Bien],B50,T_Maintenance[Mois],A50))</f>
        <v/>
      </c>
      <c r="J50" s="19">
        <f>IF(A50="","",SUM(D50:I50))</f>
        <v/>
      </c>
      <c r="K50" s="32" t="n"/>
      <c r="L50" s="22">
        <f>IF(OR(A50="",K50=""),"",C50*K50)</f>
        <v/>
      </c>
      <c r="M50" s="19">
        <f>IF(A50="","",C50-J50-L50)</f>
        <v/>
      </c>
      <c r="N50" s="23">
        <f>IF(A50="","",IFERROR(M50/C50,0))</f>
        <v/>
      </c>
      <c r="O50" s="33">
        <f>IF(A50="","",IF(N50&lt;Seuil_Rentabilite,"⚠️ Faible","OK"))</f>
        <v/>
      </c>
    </row>
    <row r="51">
      <c r="A51" s="27" t="n"/>
      <c r="B51" s="27" t="inlineStr"/>
      <c r="C51" s="22">
        <f>IF(OR(A51="",B51=""),"",SUMIFS(T_Reservations[Prix total (TTC)],T_Reservations[Bien],B51,T_Reservations[Mois],A51,T_Reservations[Statut],"&lt;&gt;Annulée"))</f>
        <v/>
      </c>
      <c r="D51" s="31" t="n"/>
      <c r="E51" s="31" t="n"/>
      <c r="F51" s="31" t="n"/>
      <c r="G51" s="31" t="n"/>
      <c r="H51" s="31" t="n"/>
      <c r="I51" s="22">
        <f>IF(OR(A51="",B51=""),"",SUMIFS(T_Maintenance[Coût],T_Maintenance[Bien],B51,T_Maintenance[Mois],A51))</f>
        <v/>
      </c>
      <c r="J51" s="19">
        <f>IF(A51="","",SUM(D51:I51))</f>
        <v/>
      </c>
      <c r="K51" s="32" t="n"/>
      <c r="L51" s="22">
        <f>IF(OR(A51="",K51=""),"",C51*K51)</f>
        <v/>
      </c>
      <c r="M51" s="19">
        <f>IF(A51="","",C51-J51-L51)</f>
        <v/>
      </c>
      <c r="N51" s="23">
        <f>IF(A51="","",IFERROR(M51/C51,0))</f>
        <v/>
      </c>
      <c r="O51" s="33">
        <f>IF(A51="","",IF(N51&lt;Seuil_Rentabilite,"⚠️ Faible","OK"))</f>
        <v/>
      </c>
    </row>
    <row r="52">
      <c r="A52" s="27" t="n"/>
      <c r="B52" s="27" t="inlineStr"/>
      <c r="C52" s="22">
        <f>IF(OR(A52="",B52=""),"",SUMIFS(T_Reservations[Prix total (TTC)],T_Reservations[Bien],B52,T_Reservations[Mois],A52,T_Reservations[Statut],"&lt;&gt;Annulée"))</f>
        <v/>
      </c>
      <c r="D52" s="31" t="n"/>
      <c r="E52" s="31" t="n"/>
      <c r="F52" s="31" t="n"/>
      <c r="G52" s="31" t="n"/>
      <c r="H52" s="31" t="n"/>
      <c r="I52" s="22">
        <f>IF(OR(A52="",B52=""),"",SUMIFS(T_Maintenance[Coût],T_Maintenance[Bien],B52,T_Maintenance[Mois],A52))</f>
        <v/>
      </c>
      <c r="J52" s="19">
        <f>IF(A52="","",SUM(D52:I52))</f>
        <v/>
      </c>
      <c r="K52" s="32" t="n"/>
      <c r="L52" s="22">
        <f>IF(OR(A52="",K52=""),"",C52*K52)</f>
        <v/>
      </c>
      <c r="M52" s="19">
        <f>IF(A52="","",C52-J52-L52)</f>
        <v/>
      </c>
      <c r="N52" s="23">
        <f>IF(A52="","",IFERROR(M52/C52,0))</f>
        <v/>
      </c>
      <c r="O52" s="33">
        <f>IF(A52="","",IF(N52&lt;Seuil_Rentabilite,"⚠️ Faible","OK"))</f>
        <v/>
      </c>
    </row>
    <row r="53">
      <c r="A53" s="27" t="n"/>
      <c r="B53" s="27" t="inlineStr"/>
      <c r="C53" s="22">
        <f>IF(OR(A53="",B53=""),"",SUMIFS(T_Reservations[Prix total (TTC)],T_Reservations[Bien],B53,T_Reservations[Mois],A53,T_Reservations[Statut],"&lt;&gt;Annulée"))</f>
        <v/>
      </c>
      <c r="D53" s="31" t="n"/>
      <c r="E53" s="31" t="n"/>
      <c r="F53" s="31" t="n"/>
      <c r="G53" s="31" t="n"/>
      <c r="H53" s="31" t="n"/>
      <c r="I53" s="22">
        <f>IF(OR(A53="",B53=""),"",SUMIFS(T_Maintenance[Coût],T_Maintenance[Bien],B53,T_Maintenance[Mois],A53))</f>
        <v/>
      </c>
      <c r="J53" s="19">
        <f>IF(A53="","",SUM(D53:I53))</f>
        <v/>
      </c>
      <c r="K53" s="32" t="n"/>
      <c r="L53" s="22">
        <f>IF(OR(A53="",K53=""),"",C53*K53)</f>
        <v/>
      </c>
      <c r="M53" s="19">
        <f>IF(A53="","",C53-J53-L53)</f>
        <v/>
      </c>
      <c r="N53" s="23">
        <f>IF(A53="","",IFERROR(M53/C53,0))</f>
        <v/>
      </c>
      <c r="O53" s="33">
        <f>IF(A53="","",IF(N53&lt;Seuil_Rentabilite,"⚠️ Faible","OK"))</f>
        <v/>
      </c>
    </row>
    <row r="54">
      <c r="A54" s="27" t="n"/>
      <c r="B54" s="27" t="inlineStr"/>
      <c r="C54" s="22">
        <f>IF(OR(A54="",B54=""),"",SUMIFS(T_Reservations[Prix total (TTC)],T_Reservations[Bien],B54,T_Reservations[Mois],A54,T_Reservations[Statut],"&lt;&gt;Annulée"))</f>
        <v/>
      </c>
      <c r="D54" s="31" t="n"/>
      <c r="E54" s="31" t="n"/>
      <c r="F54" s="31" t="n"/>
      <c r="G54" s="31" t="n"/>
      <c r="H54" s="31" t="n"/>
      <c r="I54" s="22">
        <f>IF(OR(A54="",B54=""),"",SUMIFS(T_Maintenance[Coût],T_Maintenance[Bien],B54,T_Maintenance[Mois],A54))</f>
        <v/>
      </c>
      <c r="J54" s="19">
        <f>IF(A54="","",SUM(D54:I54))</f>
        <v/>
      </c>
      <c r="K54" s="32" t="n"/>
      <c r="L54" s="22">
        <f>IF(OR(A54="",K54=""),"",C54*K54)</f>
        <v/>
      </c>
      <c r="M54" s="19">
        <f>IF(A54="","",C54-J54-L54)</f>
        <v/>
      </c>
      <c r="N54" s="23">
        <f>IF(A54="","",IFERROR(M54/C54,0))</f>
        <v/>
      </c>
      <c r="O54" s="33">
        <f>IF(A54="","",IF(N54&lt;Seuil_Rentabilite,"⚠️ Faible","OK"))</f>
        <v/>
      </c>
    </row>
    <row r="55">
      <c r="A55" s="27" t="n"/>
      <c r="B55" s="27" t="inlineStr"/>
      <c r="C55" s="22">
        <f>IF(OR(A55="",B55=""),"",SUMIFS(T_Reservations[Prix total (TTC)],T_Reservations[Bien],B55,T_Reservations[Mois],A55,T_Reservations[Statut],"&lt;&gt;Annulée"))</f>
        <v/>
      </c>
      <c r="D55" s="31" t="n"/>
      <c r="E55" s="31" t="n"/>
      <c r="F55" s="31" t="n"/>
      <c r="G55" s="31" t="n"/>
      <c r="H55" s="31" t="n"/>
      <c r="I55" s="22">
        <f>IF(OR(A55="",B55=""),"",SUMIFS(T_Maintenance[Coût],T_Maintenance[Bien],B55,T_Maintenance[Mois],A55))</f>
        <v/>
      </c>
      <c r="J55" s="19">
        <f>IF(A55="","",SUM(D55:I55))</f>
        <v/>
      </c>
      <c r="K55" s="32" t="n"/>
      <c r="L55" s="22">
        <f>IF(OR(A55="",K55=""),"",C55*K55)</f>
        <v/>
      </c>
      <c r="M55" s="19">
        <f>IF(A55="","",C55-J55-L55)</f>
        <v/>
      </c>
      <c r="N55" s="23">
        <f>IF(A55="","",IFERROR(M55/C55,0))</f>
        <v/>
      </c>
      <c r="O55" s="33">
        <f>IF(A55="","",IF(N55&lt;Seuil_Rentabilite,"⚠️ Faible","OK"))</f>
        <v/>
      </c>
    </row>
    <row r="56">
      <c r="A56" s="27" t="n"/>
      <c r="B56" s="27" t="inlineStr"/>
      <c r="C56" s="22">
        <f>IF(OR(A56="",B56=""),"",SUMIFS(T_Reservations[Prix total (TTC)],T_Reservations[Bien],B56,T_Reservations[Mois],A56,T_Reservations[Statut],"&lt;&gt;Annulée"))</f>
        <v/>
      </c>
      <c r="D56" s="31" t="n"/>
      <c r="E56" s="31" t="n"/>
      <c r="F56" s="31" t="n"/>
      <c r="G56" s="31" t="n"/>
      <c r="H56" s="31" t="n"/>
      <c r="I56" s="22">
        <f>IF(OR(A56="",B56=""),"",SUMIFS(T_Maintenance[Coût],T_Maintenance[Bien],B56,T_Maintenance[Mois],A56))</f>
        <v/>
      </c>
      <c r="J56" s="19">
        <f>IF(A56="","",SUM(D56:I56))</f>
        <v/>
      </c>
      <c r="K56" s="32" t="n"/>
      <c r="L56" s="22">
        <f>IF(OR(A56="",K56=""),"",C56*K56)</f>
        <v/>
      </c>
      <c r="M56" s="19">
        <f>IF(A56="","",C56-J56-L56)</f>
        <v/>
      </c>
      <c r="N56" s="23">
        <f>IF(A56="","",IFERROR(M56/C56,0))</f>
        <v/>
      </c>
      <c r="O56" s="33">
        <f>IF(A56="","",IF(N56&lt;Seuil_Rentabilite,"⚠️ Faible","OK"))</f>
        <v/>
      </c>
    </row>
    <row r="57">
      <c r="A57" s="27" t="n"/>
      <c r="B57" s="27" t="inlineStr"/>
      <c r="C57" s="22">
        <f>IF(OR(A57="",B57=""),"",SUMIFS(T_Reservations[Prix total (TTC)],T_Reservations[Bien],B57,T_Reservations[Mois],A57,T_Reservations[Statut],"&lt;&gt;Annulée"))</f>
        <v/>
      </c>
      <c r="D57" s="31" t="n"/>
      <c r="E57" s="31" t="n"/>
      <c r="F57" s="31" t="n"/>
      <c r="G57" s="31" t="n"/>
      <c r="H57" s="31" t="n"/>
      <c r="I57" s="22">
        <f>IF(OR(A57="",B57=""),"",SUMIFS(T_Maintenance[Coût],T_Maintenance[Bien],B57,T_Maintenance[Mois],A57))</f>
        <v/>
      </c>
      <c r="J57" s="19">
        <f>IF(A57="","",SUM(D57:I57))</f>
        <v/>
      </c>
      <c r="K57" s="32" t="n"/>
      <c r="L57" s="22">
        <f>IF(OR(A57="",K57=""),"",C57*K57)</f>
        <v/>
      </c>
      <c r="M57" s="19">
        <f>IF(A57="","",C57-J57-L57)</f>
        <v/>
      </c>
      <c r="N57" s="23">
        <f>IF(A57="","",IFERROR(M57/C57,0))</f>
        <v/>
      </c>
      <c r="O57" s="33">
        <f>IF(A57="","",IF(N57&lt;Seuil_Rentabilite,"⚠️ Faible","OK"))</f>
        <v/>
      </c>
    </row>
    <row r="58">
      <c r="A58" s="27" t="n"/>
      <c r="B58" s="27" t="inlineStr"/>
      <c r="C58" s="22">
        <f>IF(OR(A58="",B58=""),"",SUMIFS(T_Reservations[Prix total (TTC)],T_Reservations[Bien],B58,T_Reservations[Mois],A58,T_Reservations[Statut],"&lt;&gt;Annulée"))</f>
        <v/>
      </c>
      <c r="D58" s="31" t="n"/>
      <c r="E58" s="31" t="n"/>
      <c r="F58" s="31" t="n"/>
      <c r="G58" s="31" t="n"/>
      <c r="H58" s="31" t="n"/>
      <c r="I58" s="22">
        <f>IF(OR(A58="",B58=""),"",SUMIFS(T_Maintenance[Coût],T_Maintenance[Bien],B58,T_Maintenance[Mois],A58))</f>
        <v/>
      </c>
      <c r="J58" s="19">
        <f>IF(A58="","",SUM(D58:I58))</f>
        <v/>
      </c>
      <c r="K58" s="32" t="n"/>
      <c r="L58" s="22">
        <f>IF(OR(A58="",K58=""),"",C58*K58)</f>
        <v/>
      </c>
      <c r="M58" s="19">
        <f>IF(A58="","",C58-J58-L58)</f>
        <v/>
      </c>
      <c r="N58" s="23">
        <f>IF(A58="","",IFERROR(M58/C58,0))</f>
        <v/>
      </c>
      <c r="O58" s="33">
        <f>IF(A58="","",IF(N58&lt;Seuil_Rentabilite,"⚠️ Faible","OK"))</f>
        <v/>
      </c>
    </row>
    <row r="59">
      <c r="A59" s="27" t="n"/>
      <c r="B59" s="27" t="inlineStr"/>
      <c r="C59" s="22">
        <f>IF(OR(A59="",B59=""),"",SUMIFS(T_Reservations[Prix total (TTC)],T_Reservations[Bien],B59,T_Reservations[Mois],A59,T_Reservations[Statut],"&lt;&gt;Annulée"))</f>
        <v/>
      </c>
      <c r="D59" s="31" t="n"/>
      <c r="E59" s="31" t="n"/>
      <c r="F59" s="31" t="n"/>
      <c r="G59" s="31" t="n"/>
      <c r="H59" s="31" t="n"/>
      <c r="I59" s="22">
        <f>IF(OR(A59="",B59=""),"",SUMIFS(T_Maintenance[Coût],T_Maintenance[Bien],B59,T_Maintenance[Mois],A59))</f>
        <v/>
      </c>
      <c r="J59" s="19">
        <f>IF(A59="","",SUM(D59:I59))</f>
        <v/>
      </c>
      <c r="K59" s="32" t="n"/>
      <c r="L59" s="22">
        <f>IF(OR(A59="",K59=""),"",C59*K59)</f>
        <v/>
      </c>
      <c r="M59" s="19">
        <f>IF(A59="","",C59-J59-L59)</f>
        <v/>
      </c>
      <c r="N59" s="23">
        <f>IF(A59="","",IFERROR(M59/C59,0))</f>
        <v/>
      </c>
      <c r="O59" s="33">
        <f>IF(A59="","",IF(N59&lt;Seuil_Rentabilite,"⚠️ Faible","OK"))</f>
        <v/>
      </c>
    </row>
    <row r="60">
      <c r="A60" s="27" t="n"/>
      <c r="B60" s="27" t="inlineStr"/>
      <c r="C60" s="22">
        <f>IF(OR(A60="",B60=""),"",SUMIFS(T_Reservations[Prix total (TTC)],T_Reservations[Bien],B60,T_Reservations[Mois],A60,T_Reservations[Statut],"&lt;&gt;Annulée"))</f>
        <v/>
      </c>
      <c r="D60" s="31" t="n"/>
      <c r="E60" s="31" t="n"/>
      <c r="F60" s="31" t="n"/>
      <c r="G60" s="31" t="n"/>
      <c r="H60" s="31" t="n"/>
      <c r="I60" s="22">
        <f>IF(OR(A60="",B60=""),"",SUMIFS(T_Maintenance[Coût],T_Maintenance[Bien],B60,T_Maintenance[Mois],A60))</f>
        <v/>
      </c>
      <c r="J60" s="19">
        <f>IF(A60="","",SUM(D60:I60))</f>
        <v/>
      </c>
      <c r="K60" s="32" t="n"/>
      <c r="L60" s="22">
        <f>IF(OR(A60="",K60=""),"",C60*K60)</f>
        <v/>
      </c>
      <c r="M60" s="19">
        <f>IF(A60="","",C60-J60-L60)</f>
        <v/>
      </c>
      <c r="N60" s="23">
        <f>IF(A60="","",IFERROR(M60/C60,0))</f>
        <v/>
      </c>
      <c r="O60" s="33">
        <f>IF(A60="","",IF(N60&lt;Seuil_Rentabilite,"⚠️ Faible","OK"))</f>
        <v/>
      </c>
    </row>
    <row r="61">
      <c r="A61" s="27" t="n"/>
      <c r="B61" s="27" t="inlineStr"/>
      <c r="C61" s="22">
        <f>IF(OR(A61="",B61=""),"",SUMIFS(T_Reservations[Prix total (TTC)],T_Reservations[Bien],B61,T_Reservations[Mois],A61,T_Reservations[Statut],"&lt;&gt;Annulée"))</f>
        <v/>
      </c>
      <c r="D61" s="31" t="n"/>
      <c r="E61" s="31" t="n"/>
      <c r="F61" s="31" t="n"/>
      <c r="G61" s="31" t="n"/>
      <c r="H61" s="31" t="n"/>
      <c r="I61" s="22">
        <f>IF(OR(A61="",B61=""),"",SUMIFS(T_Maintenance[Coût],T_Maintenance[Bien],B61,T_Maintenance[Mois],A61))</f>
        <v/>
      </c>
      <c r="J61" s="19">
        <f>IF(A61="","",SUM(D61:I61))</f>
        <v/>
      </c>
      <c r="K61" s="32" t="n"/>
      <c r="L61" s="22">
        <f>IF(OR(A61="",K61=""),"",C61*K61)</f>
        <v/>
      </c>
      <c r="M61" s="19">
        <f>IF(A61="","",C61-J61-L61)</f>
        <v/>
      </c>
      <c r="N61" s="23">
        <f>IF(A61="","",IFERROR(M61/C61,0))</f>
        <v/>
      </c>
      <c r="O61" s="33">
        <f>IF(A61="","",IF(N61&lt;Seuil_Rentabilite,"⚠️ Faible","OK"))</f>
        <v/>
      </c>
    </row>
    <row r="62">
      <c r="A62" s="27" t="n"/>
      <c r="B62" s="27" t="inlineStr"/>
      <c r="C62" s="22">
        <f>IF(OR(A62="",B62=""),"",SUMIFS(T_Reservations[Prix total (TTC)],T_Reservations[Bien],B62,T_Reservations[Mois],A62,T_Reservations[Statut],"&lt;&gt;Annulée"))</f>
        <v/>
      </c>
      <c r="D62" s="31" t="n"/>
      <c r="E62" s="31" t="n"/>
      <c r="F62" s="31" t="n"/>
      <c r="G62" s="31" t="n"/>
      <c r="H62" s="31" t="n"/>
      <c r="I62" s="22">
        <f>IF(OR(A62="",B62=""),"",SUMIFS(T_Maintenance[Coût],T_Maintenance[Bien],B62,T_Maintenance[Mois],A62))</f>
        <v/>
      </c>
      <c r="J62" s="19">
        <f>IF(A62="","",SUM(D62:I62))</f>
        <v/>
      </c>
      <c r="K62" s="32" t="n"/>
      <c r="L62" s="22">
        <f>IF(OR(A62="",K62=""),"",C62*K62)</f>
        <v/>
      </c>
      <c r="M62" s="19">
        <f>IF(A62="","",C62-J62-L62)</f>
        <v/>
      </c>
      <c r="N62" s="23">
        <f>IF(A62="","",IFERROR(M62/C62,0))</f>
        <v/>
      </c>
      <c r="O62" s="33">
        <f>IF(A62="","",IF(N62&lt;Seuil_Rentabilite,"⚠️ Faible","OK"))</f>
        <v/>
      </c>
    </row>
    <row r="63">
      <c r="A63" s="27" t="n"/>
      <c r="B63" s="27" t="inlineStr"/>
      <c r="C63" s="22">
        <f>IF(OR(A63="",B63=""),"",SUMIFS(T_Reservations[Prix total (TTC)],T_Reservations[Bien],B63,T_Reservations[Mois],A63,T_Reservations[Statut],"&lt;&gt;Annulée"))</f>
        <v/>
      </c>
      <c r="D63" s="31" t="n"/>
      <c r="E63" s="31" t="n"/>
      <c r="F63" s="31" t="n"/>
      <c r="G63" s="31" t="n"/>
      <c r="H63" s="31" t="n"/>
      <c r="I63" s="22">
        <f>IF(OR(A63="",B63=""),"",SUMIFS(T_Maintenance[Coût],T_Maintenance[Bien],B63,T_Maintenance[Mois],A63))</f>
        <v/>
      </c>
      <c r="J63" s="19">
        <f>IF(A63="","",SUM(D63:I63))</f>
        <v/>
      </c>
      <c r="K63" s="32" t="n"/>
      <c r="L63" s="22">
        <f>IF(OR(A63="",K63=""),"",C63*K63)</f>
        <v/>
      </c>
      <c r="M63" s="19">
        <f>IF(A63="","",C63-J63-L63)</f>
        <v/>
      </c>
      <c r="N63" s="23">
        <f>IF(A63="","",IFERROR(M63/C63,0))</f>
        <v/>
      </c>
      <c r="O63" s="33">
        <f>IF(A63="","",IF(N63&lt;Seuil_Rentabilite,"⚠️ Faible","OK"))</f>
        <v/>
      </c>
    </row>
    <row r="64">
      <c r="A64" s="27" t="n"/>
      <c r="B64" s="27" t="inlineStr"/>
      <c r="C64" s="22">
        <f>IF(OR(A64="",B64=""),"",SUMIFS(T_Reservations[Prix total (TTC)],T_Reservations[Bien],B64,T_Reservations[Mois],A64,T_Reservations[Statut],"&lt;&gt;Annulée"))</f>
        <v/>
      </c>
      <c r="D64" s="31" t="n"/>
      <c r="E64" s="31" t="n"/>
      <c r="F64" s="31" t="n"/>
      <c r="G64" s="31" t="n"/>
      <c r="H64" s="31" t="n"/>
      <c r="I64" s="22">
        <f>IF(OR(A64="",B64=""),"",SUMIFS(T_Maintenance[Coût],T_Maintenance[Bien],B64,T_Maintenance[Mois],A64))</f>
        <v/>
      </c>
      <c r="J64" s="19">
        <f>IF(A64="","",SUM(D64:I64))</f>
        <v/>
      </c>
      <c r="K64" s="32" t="n"/>
      <c r="L64" s="22">
        <f>IF(OR(A64="",K64=""),"",C64*K64)</f>
        <v/>
      </c>
      <c r="M64" s="19">
        <f>IF(A64="","",C64-J64-L64)</f>
        <v/>
      </c>
      <c r="N64" s="23">
        <f>IF(A64="","",IFERROR(M64/C64,0))</f>
        <v/>
      </c>
      <c r="O64" s="33">
        <f>IF(A64="","",IF(N64&lt;Seuil_Rentabilite,"⚠️ Faible","OK"))</f>
        <v/>
      </c>
    </row>
  </sheetData>
  <sheetProtection selectLockedCells="0" selectUnlockedCells="0" sheet="1" objects="0" insertRows="1" insertHyperlinks="1" autoFilter="1" scenarios="0" formatColumns="1" deleteColumns="1" insertColumns="1" pivotTables="1" deleteRows="0" formatCells="0" formatRows="1" sort="1" password="C9B6"/>
  <autoFilter ref="A4:O64"/>
  <mergeCells count="2">
    <mergeCell ref="A2:N2"/>
    <mergeCell ref="A1:N1"/>
  </mergeCells>
  <conditionalFormatting sqref="O5:O64">
    <cfRule type="expression" priority="1" dxfId="6">
      <formula>O5="⚠️ Faible"</formula>
    </cfRule>
    <cfRule type="expression" priority="2" dxfId="3">
      <formula>O5="OK"</formula>
    </cfRule>
  </conditionalFormatting>
  <dataValidations count="1">
    <dataValidation sqref="B5:B64" showDropDown="0" showInputMessage="0" showErrorMessage="0" allowBlank="1" type="list">
      <formula1>=Biens!$A$5:$A$300</formula1>
    </dataValidation>
  </dataValidation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tabColor rgb="00C9A227"/>
    <outlinePr summaryBelow="1" summaryRight="1"/>
    <pageSetUpPr/>
  </sheetPr>
  <dimension ref="A1:G154"/>
  <sheetViews>
    <sheetView showGridLines="0" workbookViewId="0">
      <pane ySplit="4" topLeftCell="A5" activePane="bottomLeft" state="frozen"/>
      <selection pane="bottomLeft" activeCell="A1" sqref="A1"/>
    </sheetView>
  </sheetViews>
  <sheetFormatPr baseColWidth="8" defaultRowHeight="15"/>
  <cols>
    <col width="13" customWidth="1" min="1" max="1"/>
    <col width="10" customWidth="1" min="2" max="2"/>
    <col width="14" customWidth="1" min="3" max="3"/>
    <col width="13" customWidth="1" min="4" max="4"/>
    <col width="34" customWidth="1" min="5" max="5"/>
    <col width="16" customWidth="1" min="6" max="6"/>
    <col width="14" customWidth="1" min="7" max="7"/>
  </cols>
  <sheetData>
    <row r="1" ht="26" customHeight="1">
      <c r="A1" s="12" t="inlineStr">
        <is>
          <t>MÉNAGE — Suivi par réservation</t>
        </is>
      </c>
      <c r="B1" s="2" t="n"/>
      <c r="C1" s="2" t="n"/>
      <c r="D1" s="2" t="n"/>
      <c r="E1" s="2" t="n"/>
      <c r="F1" s="2" t="n"/>
      <c r="G1" s="2" t="n"/>
    </row>
    <row r="2">
      <c r="A2" s="25" t="inlineStr">
        <is>
          <t>Une ligne par passage de ménage. Le statut 'En attente' avec une date passée déclenche une alerte automatique.</t>
        </is>
      </c>
    </row>
    <row r="4" ht="30" customHeight="1">
      <c r="A4" s="20" t="inlineStr">
        <is>
          <t>Date</t>
        </is>
      </c>
      <c r="B4" s="20" t="inlineStr">
        <is>
          <t>Bien</t>
        </is>
      </c>
      <c r="C4" s="20" t="inlineStr">
        <is>
          <t>Réservation liée (N°)</t>
        </is>
      </c>
      <c r="D4" s="20" t="inlineStr">
        <is>
          <t>Statut</t>
        </is>
      </c>
      <c r="E4" s="20" t="inlineStr">
        <is>
          <t>Compte-rendu</t>
        </is>
      </c>
      <c r="F4" s="20" t="inlineStr">
        <is>
          <t>Responsable</t>
        </is>
      </c>
      <c r="G4" s="20" t="inlineStr">
        <is>
          <t>Alerte</t>
        </is>
      </c>
    </row>
    <row r="5">
      <c r="A5" s="29" t="inlineStr">
        <is>
          <t>2026-07-15</t>
        </is>
      </c>
      <c r="B5" s="27" t="inlineStr">
        <is>
          <t>Bien 1</t>
        </is>
      </c>
      <c r="C5" s="30" t="n">
        <v>1</v>
      </c>
      <c r="D5" s="27" t="inlineStr">
        <is>
          <t>Fait</t>
        </is>
      </c>
      <c r="E5" s="28" t="inlineStr">
        <is>
          <t>RAS, logement en bon état</t>
        </is>
      </c>
      <c r="F5" s="28" t="inlineStr">
        <is>
          <t>Ex: Fatima</t>
        </is>
      </c>
      <c r="G5" s="33">
        <f>IF(A5="","",IF(AND(D5="En attente",A5&lt;TODAY()),"⚠️ En retard",""))</f>
        <v/>
      </c>
    </row>
    <row r="6">
      <c r="A6" s="29" t="n"/>
      <c r="B6" s="27" t="inlineStr"/>
      <c r="C6" s="30" t="n"/>
      <c r="D6" s="27" t="inlineStr"/>
      <c r="E6" s="28" t="inlineStr"/>
      <c r="F6" s="28" t="inlineStr"/>
      <c r="G6" s="33">
        <f>IF(A6="","",IF(AND(D6="En attente",A6&lt;TODAY()),"⚠️ En retard",""))</f>
        <v/>
      </c>
    </row>
    <row r="7">
      <c r="A7" s="29" t="n"/>
      <c r="B7" s="27" t="inlineStr"/>
      <c r="C7" s="30" t="n"/>
      <c r="D7" s="27" t="inlineStr"/>
      <c r="E7" s="28" t="inlineStr"/>
      <c r="F7" s="28" t="inlineStr"/>
      <c r="G7" s="33">
        <f>IF(A7="","",IF(AND(D7="En attente",A7&lt;TODAY()),"⚠️ En retard",""))</f>
        <v/>
      </c>
    </row>
    <row r="8">
      <c r="A8" s="29" t="n"/>
      <c r="B8" s="27" t="inlineStr"/>
      <c r="C8" s="30" t="n"/>
      <c r="D8" s="27" t="inlineStr"/>
      <c r="E8" s="28" t="inlineStr"/>
      <c r="F8" s="28" t="inlineStr"/>
      <c r="G8" s="33">
        <f>IF(A8="","",IF(AND(D8="En attente",A8&lt;TODAY()),"⚠️ En retard",""))</f>
        <v/>
      </c>
    </row>
    <row r="9">
      <c r="A9" s="29" t="n"/>
      <c r="B9" s="27" t="inlineStr"/>
      <c r="C9" s="30" t="n"/>
      <c r="D9" s="27" t="inlineStr"/>
      <c r="E9" s="28" t="inlineStr"/>
      <c r="F9" s="28" t="inlineStr"/>
      <c r="G9" s="33">
        <f>IF(A9="","",IF(AND(D9="En attente",A9&lt;TODAY()),"⚠️ En retard",""))</f>
        <v/>
      </c>
    </row>
    <row r="10">
      <c r="A10" s="29" t="n"/>
      <c r="B10" s="27" t="inlineStr"/>
      <c r="C10" s="30" t="n"/>
      <c r="D10" s="27" t="inlineStr"/>
      <c r="E10" s="28" t="inlineStr"/>
      <c r="F10" s="28" t="inlineStr"/>
      <c r="G10" s="33">
        <f>IF(A10="","",IF(AND(D10="En attente",A10&lt;TODAY()),"⚠️ En retard",""))</f>
        <v/>
      </c>
    </row>
    <row r="11">
      <c r="A11" s="29" t="n"/>
      <c r="B11" s="27" t="inlineStr"/>
      <c r="C11" s="30" t="n"/>
      <c r="D11" s="27" t="inlineStr"/>
      <c r="E11" s="28" t="inlineStr"/>
      <c r="F11" s="28" t="inlineStr"/>
      <c r="G11" s="33">
        <f>IF(A11="","",IF(AND(D11="En attente",A11&lt;TODAY()),"⚠️ En retard",""))</f>
        <v/>
      </c>
    </row>
    <row r="12">
      <c r="A12" s="29" t="n"/>
      <c r="B12" s="27" t="inlineStr"/>
      <c r="C12" s="30" t="n"/>
      <c r="D12" s="27" t="inlineStr"/>
      <c r="E12" s="28" t="inlineStr"/>
      <c r="F12" s="28" t="inlineStr"/>
      <c r="G12" s="33">
        <f>IF(A12="","",IF(AND(D12="En attente",A12&lt;TODAY()),"⚠️ En retard",""))</f>
        <v/>
      </c>
    </row>
    <row r="13">
      <c r="A13" s="29" t="n"/>
      <c r="B13" s="27" t="inlineStr"/>
      <c r="C13" s="30" t="n"/>
      <c r="D13" s="27" t="inlineStr"/>
      <c r="E13" s="28" t="inlineStr"/>
      <c r="F13" s="28" t="inlineStr"/>
      <c r="G13" s="33">
        <f>IF(A13="","",IF(AND(D13="En attente",A13&lt;TODAY()),"⚠️ En retard",""))</f>
        <v/>
      </c>
    </row>
    <row r="14">
      <c r="A14" s="29" t="n"/>
      <c r="B14" s="27" t="inlineStr"/>
      <c r="C14" s="30" t="n"/>
      <c r="D14" s="27" t="inlineStr"/>
      <c r="E14" s="28" t="inlineStr"/>
      <c r="F14" s="28" t="inlineStr"/>
      <c r="G14" s="33">
        <f>IF(A14="","",IF(AND(D14="En attente",A14&lt;TODAY()),"⚠️ En retard",""))</f>
        <v/>
      </c>
    </row>
    <row r="15">
      <c r="A15" s="29" t="n"/>
      <c r="B15" s="27" t="inlineStr"/>
      <c r="C15" s="30" t="n"/>
      <c r="D15" s="27" t="inlineStr"/>
      <c r="E15" s="28" t="inlineStr"/>
      <c r="F15" s="28" t="inlineStr"/>
      <c r="G15" s="33">
        <f>IF(A15="","",IF(AND(D15="En attente",A15&lt;TODAY()),"⚠️ En retard",""))</f>
        <v/>
      </c>
    </row>
    <row r="16">
      <c r="A16" s="29" t="n"/>
      <c r="B16" s="27" t="inlineStr"/>
      <c r="C16" s="30" t="n"/>
      <c r="D16" s="27" t="inlineStr"/>
      <c r="E16" s="28" t="inlineStr"/>
      <c r="F16" s="28" t="inlineStr"/>
      <c r="G16" s="33">
        <f>IF(A16="","",IF(AND(D16="En attente",A16&lt;TODAY()),"⚠️ En retard",""))</f>
        <v/>
      </c>
    </row>
    <row r="17">
      <c r="A17" s="29" t="n"/>
      <c r="B17" s="27" t="inlineStr"/>
      <c r="C17" s="30" t="n"/>
      <c r="D17" s="27" t="inlineStr"/>
      <c r="E17" s="28" t="inlineStr"/>
      <c r="F17" s="28" t="inlineStr"/>
      <c r="G17" s="33">
        <f>IF(A17="","",IF(AND(D17="En attente",A17&lt;TODAY()),"⚠️ En retard",""))</f>
        <v/>
      </c>
    </row>
    <row r="18">
      <c r="A18" s="29" t="n"/>
      <c r="B18" s="27" t="inlineStr"/>
      <c r="C18" s="30" t="n"/>
      <c r="D18" s="27" t="inlineStr"/>
      <c r="E18" s="28" t="inlineStr"/>
      <c r="F18" s="28" t="inlineStr"/>
      <c r="G18" s="33">
        <f>IF(A18="","",IF(AND(D18="En attente",A18&lt;TODAY()),"⚠️ En retard",""))</f>
        <v/>
      </c>
    </row>
    <row r="19">
      <c r="A19" s="29" t="n"/>
      <c r="B19" s="27" t="inlineStr"/>
      <c r="C19" s="30" t="n"/>
      <c r="D19" s="27" t="inlineStr"/>
      <c r="E19" s="28" t="inlineStr"/>
      <c r="F19" s="28" t="inlineStr"/>
      <c r="G19" s="33">
        <f>IF(A19="","",IF(AND(D19="En attente",A19&lt;TODAY()),"⚠️ En retard",""))</f>
        <v/>
      </c>
    </row>
    <row r="20">
      <c r="A20" s="29" t="n"/>
      <c r="B20" s="27" t="inlineStr"/>
      <c r="C20" s="30" t="n"/>
      <c r="D20" s="27" t="inlineStr"/>
      <c r="E20" s="28" t="inlineStr"/>
      <c r="F20" s="28" t="inlineStr"/>
      <c r="G20" s="33">
        <f>IF(A20="","",IF(AND(D20="En attente",A20&lt;TODAY()),"⚠️ En retard",""))</f>
        <v/>
      </c>
    </row>
    <row r="21">
      <c r="A21" s="29" t="n"/>
      <c r="B21" s="27" t="inlineStr"/>
      <c r="C21" s="30" t="n"/>
      <c r="D21" s="27" t="inlineStr"/>
      <c r="E21" s="28" t="inlineStr"/>
      <c r="F21" s="28" t="inlineStr"/>
      <c r="G21" s="33">
        <f>IF(A21="","",IF(AND(D21="En attente",A21&lt;TODAY()),"⚠️ En retard",""))</f>
        <v/>
      </c>
    </row>
    <row r="22">
      <c r="A22" s="29" t="n"/>
      <c r="B22" s="27" t="inlineStr"/>
      <c r="C22" s="30" t="n"/>
      <c r="D22" s="27" t="inlineStr"/>
      <c r="E22" s="28" t="inlineStr"/>
      <c r="F22" s="28" t="inlineStr"/>
      <c r="G22" s="33">
        <f>IF(A22="","",IF(AND(D22="En attente",A22&lt;TODAY()),"⚠️ En retard",""))</f>
        <v/>
      </c>
    </row>
    <row r="23">
      <c r="A23" s="29" t="n"/>
      <c r="B23" s="27" t="inlineStr"/>
      <c r="C23" s="30" t="n"/>
      <c r="D23" s="27" t="inlineStr"/>
      <c r="E23" s="28" t="inlineStr"/>
      <c r="F23" s="28" t="inlineStr"/>
      <c r="G23" s="33">
        <f>IF(A23="","",IF(AND(D23="En attente",A23&lt;TODAY()),"⚠️ En retard",""))</f>
        <v/>
      </c>
    </row>
    <row r="24">
      <c r="A24" s="29" t="n"/>
      <c r="B24" s="27" t="inlineStr"/>
      <c r="C24" s="30" t="n"/>
      <c r="D24" s="27" t="inlineStr"/>
      <c r="E24" s="28" t="inlineStr"/>
      <c r="F24" s="28" t="inlineStr"/>
      <c r="G24" s="33">
        <f>IF(A24="","",IF(AND(D24="En attente",A24&lt;TODAY()),"⚠️ En retard",""))</f>
        <v/>
      </c>
    </row>
    <row r="25">
      <c r="A25" s="29" t="n"/>
      <c r="B25" s="27" t="inlineStr"/>
      <c r="C25" s="30" t="n"/>
      <c r="D25" s="27" t="inlineStr"/>
      <c r="E25" s="28" t="inlineStr"/>
      <c r="F25" s="28" t="inlineStr"/>
      <c r="G25" s="33">
        <f>IF(A25="","",IF(AND(D25="En attente",A25&lt;TODAY()),"⚠️ En retard",""))</f>
        <v/>
      </c>
    </row>
    <row r="26">
      <c r="A26" s="29" t="n"/>
      <c r="B26" s="27" t="inlineStr"/>
      <c r="C26" s="30" t="n"/>
      <c r="D26" s="27" t="inlineStr"/>
      <c r="E26" s="28" t="inlineStr"/>
      <c r="F26" s="28" t="inlineStr"/>
      <c r="G26" s="33">
        <f>IF(A26="","",IF(AND(D26="En attente",A26&lt;TODAY()),"⚠️ En retard",""))</f>
        <v/>
      </c>
    </row>
    <row r="27">
      <c r="A27" s="29" t="n"/>
      <c r="B27" s="27" t="inlineStr"/>
      <c r="C27" s="30" t="n"/>
      <c r="D27" s="27" t="inlineStr"/>
      <c r="E27" s="28" t="inlineStr"/>
      <c r="F27" s="28" t="inlineStr"/>
      <c r="G27" s="33">
        <f>IF(A27="","",IF(AND(D27="En attente",A27&lt;TODAY()),"⚠️ En retard",""))</f>
        <v/>
      </c>
    </row>
    <row r="28">
      <c r="A28" s="29" t="n"/>
      <c r="B28" s="27" t="inlineStr"/>
      <c r="C28" s="30" t="n"/>
      <c r="D28" s="27" t="inlineStr"/>
      <c r="E28" s="28" t="inlineStr"/>
      <c r="F28" s="28" t="inlineStr"/>
      <c r="G28" s="33">
        <f>IF(A28="","",IF(AND(D28="En attente",A28&lt;TODAY()),"⚠️ En retard",""))</f>
        <v/>
      </c>
    </row>
    <row r="29">
      <c r="A29" s="29" t="n"/>
      <c r="B29" s="27" t="inlineStr"/>
      <c r="C29" s="30" t="n"/>
      <c r="D29" s="27" t="inlineStr"/>
      <c r="E29" s="28" t="inlineStr"/>
      <c r="F29" s="28" t="inlineStr"/>
      <c r="G29" s="33">
        <f>IF(A29="","",IF(AND(D29="En attente",A29&lt;TODAY()),"⚠️ En retard",""))</f>
        <v/>
      </c>
    </row>
    <row r="30">
      <c r="A30" s="29" t="n"/>
      <c r="B30" s="27" t="inlineStr"/>
      <c r="C30" s="30" t="n"/>
      <c r="D30" s="27" t="inlineStr"/>
      <c r="E30" s="28" t="inlineStr"/>
      <c r="F30" s="28" t="inlineStr"/>
      <c r="G30" s="33">
        <f>IF(A30="","",IF(AND(D30="En attente",A30&lt;TODAY()),"⚠️ En retard",""))</f>
        <v/>
      </c>
    </row>
    <row r="31">
      <c r="A31" s="29" t="n"/>
      <c r="B31" s="27" t="inlineStr"/>
      <c r="C31" s="30" t="n"/>
      <c r="D31" s="27" t="inlineStr"/>
      <c r="E31" s="28" t="inlineStr"/>
      <c r="F31" s="28" t="inlineStr"/>
      <c r="G31" s="33">
        <f>IF(A31="","",IF(AND(D31="En attente",A31&lt;TODAY()),"⚠️ En retard",""))</f>
        <v/>
      </c>
    </row>
    <row r="32">
      <c r="A32" s="29" t="n"/>
      <c r="B32" s="27" t="inlineStr"/>
      <c r="C32" s="30" t="n"/>
      <c r="D32" s="27" t="inlineStr"/>
      <c r="E32" s="28" t="inlineStr"/>
      <c r="F32" s="28" t="inlineStr"/>
      <c r="G32" s="33">
        <f>IF(A32="","",IF(AND(D32="En attente",A32&lt;TODAY()),"⚠️ En retard",""))</f>
        <v/>
      </c>
    </row>
    <row r="33">
      <c r="A33" s="29" t="n"/>
      <c r="B33" s="27" t="inlineStr"/>
      <c r="C33" s="30" t="n"/>
      <c r="D33" s="27" t="inlineStr"/>
      <c r="E33" s="28" t="inlineStr"/>
      <c r="F33" s="28" t="inlineStr"/>
      <c r="G33" s="33">
        <f>IF(A33="","",IF(AND(D33="En attente",A33&lt;TODAY()),"⚠️ En retard",""))</f>
        <v/>
      </c>
    </row>
    <row r="34">
      <c r="A34" s="29" t="n"/>
      <c r="B34" s="27" t="inlineStr"/>
      <c r="C34" s="30" t="n"/>
      <c r="D34" s="27" t="inlineStr"/>
      <c r="E34" s="28" t="inlineStr"/>
      <c r="F34" s="28" t="inlineStr"/>
      <c r="G34" s="33">
        <f>IF(A34="","",IF(AND(D34="En attente",A34&lt;TODAY()),"⚠️ En retard",""))</f>
        <v/>
      </c>
    </row>
    <row r="35">
      <c r="A35" s="29" t="n"/>
      <c r="B35" s="27" t="inlineStr"/>
      <c r="C35" s="30" t="n"/>
      <c r="D35" s="27" t="inlineStr"/>
      <c r="E35" s="28" t="inlineStr"/>
      <c r="F35" s="28" t="inlineStr"/>
      <c r="G35" s="33">
        <f>IF(A35="","",IF(AND(D35="En attente",A35&lt;TODAY()),"⚠️ En retard",""))</f>
        <v/>
      </c>
    </row>
    <row r="36">
      <c r="A36" s="29" t="n"/>
      <c r="B36" s="27" t="inlineStr"/>
      <c r="C36" s="30" t="n"/>
      <c r="D36" s="27" t="inlineStr"/>
      <c r="E36" s="28" t="inlineStr"/>
      <c r="F36" s="28" t="inlineStr"/>
      <c r="G36" s="33">
        <f>IF(A36="","",IF(AND(D36="En attente",A36&lt;TODAY()),"⚠️ En retard",""))</f>
        <v/>
      </c>
    </row>
    <row r="37">
      <c r="A37" s="29" t="n"/>
      <c r="B37" s="27" t="inlineStr"/>
      <c r="C37" s="30" t="n"/>
      <c r="D37" s="27" t="inlineStr"/>
      <c r="E37" s="28" t="inlineStr"/>
      <c r="F37" s="28" t="inlineStr"/>
      <c r="G37" s="33">
        <f>IF(A37="","",IF(AND(D37="En attente",A37&lt;TODAY()),"⚠️ En retard",""))</f>
        <v/>
      </c>
    </row>
    <row r="38">
      <c r="A38" s="29" t="n"/>
      <c r="B38" s="27" t="inlineStr"/>
      <c r="C38" s="30" t="n"/>
      <c r="D38" s="27" t="inlineStr"/>
      <c r="E38" s="28" t="inlineStr"/>
      <c r="F38" s="28" t="inlineStr"/>
      <c r="G38" s="33">
        <f>IF(A38="","",IF(AND(D38="En attente",A38&lt;TODAY()),"⚠️ En retard",""))</f>
        <v/>
      </c>
    </row>
    <row r="39">
      <c r="A39" s="29" t="n"/>
      <c r="B39" s="27" t="inlineStr"/>
      <c r="C39" s="30" t="n"/>
      <c r="D39" s="27" t="inlineStr"/>
      <c r="E39" s="28" t="inlineStr"/>
      <c r="F39" s="28" t="inlineStr"/>
      <c r="G39" s="33">
        <f>IF(A39="","",IF(AND(D39="En attente",A39&lt;TODAY()),"⚠️ En retard",""))</f>
        <v/>
      </c>
    </row>
    <row r="40">
      <c r="A40" s="29" t="n"/>
      <c r="B40" s="27" t="inlineStr"/>
      <c r="C40" s="30" t="n"/>
      <c r="D40" s="27" t="inlineStr"/>
      <c r="E40" s="28" t="inlineStr"/>
      <c r="F40" s="28" t="inlineStr"/>
      <c r="G40" s="33">
        <f>IF(A40="","",IF(AND(D40="En attente",A40&lt;TODAY()),"⚠️ En retard",""))</f>
        <v/>
      </c>
    </row>
    <row r="41">
      <c r="A41" s="29" t="n"/>
      <c r="B41" s="27" t="inlineStr"/>
      <c r="C41" s="30" t="n"/>
      <c r="D41" s="27" t="inlineStr"/>
      <c r="E41" s="28" t="inlineStr"/>
      <c r="F41" s="28" t="inlineStr"/>
      <c r="G41" s="33">
        <f>IF(A41="","",IF(AND(D41="En attente",A41&lt;TODAY()),"⚠️ En retard",""))</f>
        <v/>
      </c>
    </row>
    <row r="42">
      <c r="A42" s="29" t="n"/>
      <c r="B42" s="27" t="inlineStr"/>
      <c r="C42" s="30" t="n"/>
      <c r="D42" s="27" t="inlineStr"/>
      <c r="E42" s="28" t="inlineStr"/>
      <c r="F42" s="28" t="inlineStr"/>
      <c r="G42" s="33">
        <f>IF(A42="","",IF(AND(D42="En attente",A42&lt;TODAY()),"⚠️ En retard",""))</f>
        <v/>
      </c>
    </row>
    <row r="43">
      <c r="A43" s="29" t="n"/>
      <c r="B43" s="27" t="inlineStr"/>
      <c r="C43" s="30" t="n"/>
      <c r="D43" s="27" t="inlineStr"/>
      <c r="E43" s="28" t="inlineStr"/>
      <c r="F43" s="28" t="inlineStr"/>
      <c r="G43" s="33">
        <f>IF(A43="","",IF(AND(D43="En attente",A43&lt;TODAY()),"⚠️ En retard",""))</f>
        <v/>
      </c>
    </row>
    <row r="44">
      <c r="A44" s="29" t="n"/>
      <c r="B44" s="27" t="inlineStr"/>
      <c r="C44" s="30" t="n"/>
      <c r="D44" s="27" t="inlineStr"/>
      <c r="E44" s="28" t="inlineStr"/>
      <c r="F44" s="28" t="inlineStr"/>
      <c r="G44" s="33">
        <f>IF(A44="","",IF(AND(D44="En attente",A44&lt;TODAY()),"⚠️ En retard",""))</f>
        <v/>
      </c>
    </row>
    <row r="45">
      <c r="A45" s="29" t="n"/>
      <c r="B45" s="27" t="inlineStr"/>
      <c r="C45" s="30" t="n"/>
      <c r="D45" s="27" t="inlineStr"/>
      <c r="E45" s="28" t="inlineStr"/>
      <c r="F45" s="28" t="inlineStr"/>
      <c r="G45" s="33">
        <f>IF(A45="","",IF(AND(D45="En attente",A45&lt;TODAY()),"⚠️ En retard",""))</f>
        <v/>
      </c>
    </row>
    <row r="46">
      <c r="A46" s="29" t="n"/>
      <c r="B46" s="27" t="inlineStr"/>
      <c r="C46" s="30" t="n"/>
      <c r="D46" s="27" t="inlineStr"/>
      <c r="E46" s="28" t="inlineStr"/>
      <c r="F46" s="28" t="inlineStr"/>
      <c r="G46" s="33">
        <f>IF(A46="","",IF(AND(D46="En attente",A46&lt;TODAY()),"⚠️ En retard",""))</f>
        <v/>
      </c>
    </row>
    <row r="47">
      <c r="A47" s="29" t="n"/>
      <c r="B47" s="27" t="inlineStr"/>
      <c r="C47" s="30" t="n"/>
      <c r="D47" s="27" t="inlineStr"/>
      <c r="E47" s="28" t="inlineStr"/>
      <c r="F47" s="28" t="inlineStr"/>
      <c r="G47" s="33">
        <f>IF(A47="","",IF(AND(D47="En attente",A47&lt;TODAY()),"⚠️ En retard",""))</f>
        <v/>
      </c>
    </row>
    <row r="48">
      <c r="A48" s="29" t="n"/>
      <c r="B48" s="27" t="inlineStr"/>
      <c r="C48" s="30" t="n"/>
      <c r="D48" s="27" t="inlineStr"/>
      <c r="E48" s="28" t="inlineStr"/>
      <c r="F48" s="28" t="inlineStr"/>
      <c r="G48" s="33">
        <f>IF(A48="","",IF(AND(D48="En attente",A48&lt;TODAY()),"⚠️ En retard",""))</f>
        <v/>
      </c>
    </row>
    <row r="49">
      <c r="A49" s="29" t="n"/>
      <c r="B49" s="27" t="inlineStr"/>
      <c r="C49" s="30" t="n"/>
      <c r="D49" s="27" t="inlineStr"/>
      <c r="E49" s="28" t="inlineStr"/>
      <c r="F49" s="28" t="inlineStr"/>
      <c r="G49" s="33">
        <f>IF(A49="","",IF(AND(D49="En attente",A49&lt;TODAY()),"⚠️ En retard",""))</f>
        <v/>
      </c>
    </row>
    <row r="50">
      <c r="A50" s="29" t="n"/>
      <c r="B50" s="27" t="inlineStr"/>
      <c r="C50" s="30" t="n"/>
      <c r="D50" s="27" t="inlineStr"/>
      <c r="E50" s="28" t="inlineStr"/>
      <c r="F50" s="28" t="inlineStr"/>
      <c r="G50" s="33">
        <f>IF(A50="","",IF(AND(D50="En attente",A50&lt;TODAY()),"⚠️ En retard",""))</f>
        <v/>
      </c>
    </row>
    <row r="51">
      <c r="A51" s="29" t="n"/>
      <c r="B51" s="27" t="inlineStr"/>
      <c r="C51" s="30" t="n"/>
      <c r="D51" s="27" t="inlineStr"/>
      <c r="E51" s="28" t="inlineStr"/>
      <c r="F51" s="28" t="inlineStr"/>
      <c r="G51" s="33">
        <f>IF(A51="","",IF(AND(D51="En attente",A51&lt;TODAY()),"⚠️ En retard",""))</f>
        <v/>
      </c>
    </row>
    <row r="52">
      <c r="A52" s="29" t="n"/>
      <c r="B52" s="27" t="inlineStr"/>
      <c r="C52" s="30" t="n"/>
      <c r="D52" s="27" t="inlineStr"/>
      <c r="E52" s="28" t="inlineStr"/>
      <c r="F52" s="28" t="inlineStr"/>
      <c r="G52" s="33">
        <f>IF(A52="","",IF(AND(D52="En attente",A52&lt;TODAY()),"⚠️ En retard",""))</f>
        <v/>
      </c>
    </row>
    <row r="53">
      <c r="A53" s="29" t="n"/>
      <c r="B53" s="27" t="inlineStr"/>
      <c r="C53" s="30" t="n"/>
      <c r="D53" s="27" t="inlineStr"/>
      <c r="E53" s="28" t="inlineStr"/>
      <c r="F53" s="28" t="inlineStr"/>
      <c r="G53" s="33">
        <f>IF(A53="","",IF(AND(D53="En attente",A53&lt;TODAY()),"⚠️ En retard",""))</f>
        <v/>
      </c>
    </row>
    <row r="54">
      <c r="A54" s="29" t="n"/>
      <c r="B54" s="27" t="inlineStr"/>
      <c r="C54" s="30" t="n"/>
      <c r="D54" s="27" t="inlineStr"/>
      <c r="E54" s="28" t="inlineStr"/>
      <c r="F54" s="28" t="inlineStr"/>
      <c r="G54" s="33">
        <f>IF(A54="","",IF(AND(D54="En attente",A54&lt;TODAY()),"⚠️ En retard",""))</f>
        <v/>
      </c>
    </row>
    <row r="55">
      <c r="A55" s="29" t="n"/>
      <c r="B55" s="27" t="inlineStr"/>
      <c r="C55" s="30" t="n"/>
      <c r="D55" s="27" t="inlineStr"/>
      <c r="E55" s="28" t="inlineStr"/>
      <c r="F55" s="28" t="inlineStr"/>
      <c r="G55" s="33">
        <f>IF(A55="","",IF(AND(D55="En attente",A55&lt;TODAY()),"⚠️ En retard",""))</f>
        <v/>
      </c>
    </row>
    <row r="56">
      <c r="A56" s="29" t="n"/>
      <c r="B56" s="27" t="inlineStr"/>
      <c r="C56" s="30" t="n"/>
      <c r="D56" s="27" t="inlineStr"/>
      <c r="E56" s="28" t="inlineStr"/>
      <c r="F56" s="28" t="inlineStr"/>
      <c r="G56" s="33">
        <f>IF(A56="","",IF(AND(D56="En attente",A56&lt;TODAY()),"⚠️ En retard",""))</f>
        <v/>
      </c>
    </row>
    <row r="57">
      <c r="A57" s="29" t="n"/>
      <c r="B57" s="27" t="inlineStr"/>
      <c r="C57" s="30" t="n"/>
      <c r="D57" s="27" t="inlineStr"/>
      <c r="E57" s="28" t="inlineStr"/>
      <c r="F57" s="28" t="inlineStr"/>
      <c r="G57" s="33">
        <f>IF(A57="","",IF(AND(D57="En attente",A57&lt;TODAY()),"⚠️ En retard",""))</f>
        <v/>
      </c>
    </row>
    <row r="58">
      <c r="A58" s="29" t="n"/>
      <c r="B58" s="27" t="inlineStr"/>
      <c r="C58" s="30" t="n"/>
      <c r="D58" s="27" t="inlineStr"/>
      <c r="E58" s="28" t="inlineStr"/>
      <c r="F58" s="28" t="inlineStr"/>
      <c r="G58" s="33">
        <f>IF(A58="","",IF(AND(D58="En attente",A58&lt;TODAY()),"⚠️ En retard",""))</f>
        <v/>
      </c>
    </row>
    <row r="59">
      <c r="A59" s="29" t="n"/>
      <c r="B59" s="27" t="inlineStr"/>
      <c r="C59" s="30" t="n"/>
      <c r="D59" s="27" t="inlineStr"/>
      <c r="E59" s="28" t="inlineStr"/>
      <c r="F59" s="28" t="inlineStr"/>
      <c r="G59" s="33">
        <f>IF(A59="","",IF(AND(D59="En attente",A59&lt;TODAY()),"⚠️ En retard",""))</f>
        <v/>
      </c>
    </row>
    <row r="60">
      <c r="A60" s="29" t="n"/>
      <c r="B60" s="27" t="inlineStr"/>
      <c r="C60" s="30" t="n"/>
      <c r="D60" s="27" t="inlineStr"/>
      <c r="E60" s="28" t="inlineStr"/>
      <c r="F60" s="28" t="inlineStr"/>
      <c r="G60" s="33">
        <f>IF(A60="","",IF(AND(D60="En attente",A60&lt;TODAY()),"⚠️ En retard",""))</f>
        <v/>
      </c>
    </row>
    <row r="61">
      <c r="A61" s="29" t="n"/>
      <c r="B61" s="27" t="inlineStr"/>
      <c r="C61" s="30" t="n"/>
      <c r="D61" s="27" t="inlineStr"/>
      <c r="E61" s="28" t="inlineStr"/>
      <c r="F61" s="28" t="inlineStr"/>
      <c r="G61" s="33">
        <f>IF(A61="","",IF(AND(D61="En attente",A61&lt;TODAY()),"⚠️ En retard",""))</f>
        <v/>
      </c>
    </row>
    <row r="62">
      <c r="A62" s="29" t="n"/>
      <c r="B62" s="27" t="inlineStr"/>
      <c r="C62" s="30" t="n"/>
      <c r="D62" s="27" t="inlineStr"/>
      <c r="E62" s="28" t="inlineStr"/>
      <c r="F62" s="28" t="inlineStr"/>
      <c r="G62" s="33">
        <f>IF(A62="","",IF(AND(D62="En attente",A62&lt;TODAY()),"⚠️ En retard",""))</f>
        <v/>
      </c>
    </row>
    <row r="63">
      <c r="A63" s="29" t="n"/>
      <c r="B63" s="27" t="inlineStr"/>
      <c r="C63" s="30" t="n"/>
      <c r="D63" s="27" t="inlineStr"/>
      <c r="E63" s="28" t="inlineStr"/>
      <c r="F63" s="28" t="inlineStr"/>
      <c r="G63" s="33">
        <f>IF(A63="","",IF(AND(D63="En attente",A63&lt;TODAY()),"⚠️ En retard",""))</f>
        <v/>
      </c>
    </row>
    <row r="64">
      <c r="A64" s="29" t="n"/>
      <c r="B64" s="27" t="inlineStr"/>
      <c r="C64" s="30" t="n"/>
      <c r="D64" s="27" t="inlineStr"/>
      <c r="E64" s="28" t="inlineStr"/>
      <c r="F64" s="28" t="inlineStr"/>
      <c r="G64" s="33">
        <f>IF(A64="","",IF(AND(D64="En attente",A64&lt;TODAY()),"⚠️ En retard",""))</f>
        <v/>
      </c>
    </row>
    <row r="65">
      <c r="A65" s="29" t="n"/>
      <c r="B65" s="27" t="inlineStr"/>
      <c r="C65" s="30" t="n"/>
      <c r="D65" s="27" t="inlineStr"/>
      <c r="E65" s="28" t="inlineStr"/>
      <c r="F65" s="28" t="inlineStr"/>
      <c r="G65" s="33">
        <f>IF(A65="","",IF(AND(D65="En attente",A65&lt;TODAY()),"⚠️ En retard",""))</f>
        <v/>
      </c>
    </row>
    <row r="66">
      <c r="A66" s="29" t="n"/>
      <c r="B66" s="27" t="inlineStr"/>
      <c r="C66" s="30" t="n"/>
      <c r="D66" s="27" t="inlineStr"/>
      <c r="E66" s="28" t="inlineStr"/>
      <c r="F66" s="28" t="inlineStr"/>
      <c r="G66" s="33">
        <f>IF(A66="","",IF(AND(D66="En attente",A66&lt;TODAY()),"⚠️ En retard",""))</f>
        <v/>
      </c>
    </row>
    <row r="67">
      <c r="A67" s="29" t="n"/>
      <c r="B67" s="27" t="inlineStr"/>
      <c r="C67" s="30" t="n"/>
      <c r="D67" s="27" t="inlineStr"/>
      <c r="E67" s="28" t="inlineStr"/>
      <c r="F67" s="28" t="inlineStr"/>
      <c r="G67" s="33">
        <f>IF(A67="","",IF(AND(D67="En attente",A67&lt;TODAY()),"⚠️ En retard",""))</f>
        <v/>
      </c>
    </row>
    <row r="68">
      <c r="A68" s="29" t="n"/>
      <c r="B68" s="27" t="inlineStr"/>
      <c r="C68" s="30" t="n"/>
      <c r="D68" s="27" t="inlineStr"/>
      <c r="E68" s="28" t="inlineStr"/>
      <c r="F68" s="28" t="inlineStr"/>
      <c r="G68" s="33">
        <f>IF(A68="","",IF(AND(D68="En attente",A68&lt;TODAY()),"⚠️ En retard",""))</f>
        <v/>
      </c>
    </row>
    <row r="69">
      <c r="A69" s="29" t="n"/>
      <c r="B69" s="27" t="inlineStr"/>
      <c r="C69" s="30" t="n"/>
      <c r="D69" s="27" t="inlineStr"/>
      <c r="E69" s="28" t="inlineStr"/>
      <c r="F69" s="28" t="inlineStr"/>
      <c r="G69" s="33">
        <f>IF(A69="","",IF(AND(D69="En attente",A69&lt;TODAY()),"⚠️ En retard",""))</f>
        <v/>
      </c>
    </row>
    <row r="70">
      <c r="A70" s="29" t="n"/>
      <c r="B70" s="27" t="inlineStr"/>
      <c r="C70" s="30" t="n"/>
      <c r="D70" s="27" t="inlineStr"/>
      <c r="E70" s="28" t="inlineStr"/>
      <c r="F70" s="28" t="inlineStr"/>
      <c r="G70" s="33">
        <f>IF(A70="","",IF(AND(D70="En attente",A70&lt;TODAY()),"⚠️ En retard",""))</f>
        <v/>
      </c>
    </row>
    <row r="71">
      <c r="A71" s="29" t="n"/>
      <c r="B71" s="27" t="inlineStr"/>
      <c r="C71" s="30" t="n"/>
      <c r="D71" s="27" t="inlineStr"/>
      <c r="E71" s="28" t="inlineStr"/>
      <c r="F71" s="28" t="inlineStr"/>
      <c r="G71" s="33">
        <f>IF(A71="","",IF(AND(D71="En attente",A71&lt;TODAY()),"⚠️ En retard",""))</f>
        <v/>
      </c>
    </row>
    <row r="72">
      <c r="A72" s="29" t="n"/>
      <c r="B72" s="27" t="inlineStr"/>
      <c r="C72" s="30" t="n"/>
      <c r="D72" s="27" t="inlineStr"/>
      <c r="E72" s="28" t="inlineStr"/>
      <c r="F72" s="28" t="inlineStr"/>
      <c r="G72" s="33">
        <f>IF(A72="","",IF(AND(D72="En attente",A72&lt;TODAY()),"⚠️ En retard",""))</f>
        <v/>
      </c>
    </row>
    <row r="73">
      <c r="A73" s="29" t="n"/>
      <c r="B73" s="27" t="inlineStr"/>
      <c r="C73" s="30" t="n"/>
      <c r="D73" s="27" t="inlineStr"/>
      <c r="E73" s="28" t="inlineStr"/>
      <c r="F73" s="28" t="inlineStr"/>
      <c r="G73" s="33">
        <f>IF(A73="","",IF(AND(D73="En attente",A73&lt;TODAY()),"⚠️ En retard",""))</f>
        <v/>
      </c>
    </row>
    <row r="74">
      <c r="A74" s="29" t="n"/>
      <c r="B74" s="27" t="inlineStr"/>
      <c r="C74" s="30" t="n"/>
      <c r="D74" s="27" t="inlineStr"/>
      <c r="E74" s="28" t="inlineStr"/>
      <c r="F74" s="28" t="inlineStr"/>
      <c r="G74" s="33">
        <f>IF(A74="","",IF(AND(D74="En attente",A74&lt;TODAY()),"⚠️ En retard",""))</f>
        <v/>
      </c>
    </row>
    <row r="75">
      <c r="A75" s="29" t="n"/>
      <c r="B75" s="27" t="inlineStr"/>
      <c r="C75" s="30" t="n"/>
      <c r="D75" s="27" t="inlineStr"/>
      <c r="E75" s="28" t="inlineStr"/>
      <c r="F75" s="28" t="inlineStr"/>
      <c r="G75" s="33">
        <f>IF(A75="","",IF(AND(D75="En attente",A75&lt;TODAY()),"⚠️ En retard",""))</f>
        <v/>
      </c>
    </row>
    <row r="76">
      <c r="A76" s="29" t="n"/>
      <c r="B76" s="27" t="inlineStr"/>
      <c r="C76" s="30" t="n"/>
      <c r="D76" s="27" t="inlineStr"/>
      <c r="E76" s="28" t="inlineStr"/>
      <c r="F76" s="28" t="inlineStr"/>
      <c r="G76" s="33">
        <f>IF(A76="","",IF(AND(D76="En attente",A76&lt;TODAY()),"⚠️ En retard",""))</f>
        <v/>
      </c>
    </row>
    <row r="77">
      <c r="A77" s="29" t="n"/>
      <c r="B77" s="27" t="inlineStr"/>
      <c r="C77" s="30" t="n"/>
      <c r="D77" s="27" t="inlineStr"/>
      <c r="E77" s="28" t="inlineStr"/>
      <c r="F77" s="28" t="inlineStr"/>
      <c r="G77" s="33">
        <f>IF(A77="","",IF(AND(D77="En attente",A77&lt;TODAY()),"⚠️ En retard",""))</f>
        <v/>
      </c>
    </row>
    <row r="78">
      <c r="A78" s="29" t="n"/>
      <c r="B78" s="27" t="inlineStr"/>
      <c r="C78" s="30" t="n"/>
      <c r="D78" s="27" t="inlineStr"/>
      <c r="E78" s="28" t="inlineStr"/>
      <c r="F78" s="28" t="inlineStr"/>
      <c r="G78" s="33">
        <f>IF(A78="","",IF(AND(D78="En attente",A78&lt;TODAY()),"⚠️ En retard",""))</f>
        <v/>
      </c>
    </row>
    <row r="79">
      <c r="A79" s="29" t="n"/>
      <c r="B79" s="27" t="inlineStr"/>
      <c r="C79" s="30" t="n"/>
      <c r="D79" s="27" t="inlineStr"/>
      <c r="E79" s="28" t="inlineStr"/>
      <c r="F79" s="28" t="inlineStr"/>
      <c r="G79" s="33">
        <f>IF(A79="","",IF(AND(D79="En attente",A79&lt;TODAY()),"⚠️ En retard",""))</f>
        <v/>
      </c>
    </row>
    <row r="80">
      <c r="A80" s="29" t="n"/>
      <c r="B80" s="27" t="inlineStr"/>
      <c r="C80" s="30" t="n"/>
      <c r="D80" s="27" t="inlineStr"/>
      <c r="E80" s="28" t="inlineStr"/>
      <c r="F80" s="28" t="inlineStr"/>
      <c r="G80" s="33">
        <f>IF(A80="","",IF(AND(D80="En attente",A80&lt;TODAY()),"⚠️ En retard",""))</f>
        <v/>
      </c>
    </row>
    <row r="81">
      <c r="A81" s="29" t="n"/>
      <c r="B81" s="27" t="inlineStr"/>
      <c r="C81" s="30" t="n"/>
      <c r="D81" s="27" t="inlineStr"/>
      <c r="E81" s="28" t="inlineStr"/>
      <c r="F81" s="28" t="inlineStr"/>
      <c r="G81" s="33">
        <f>IF(A81="","",IF(AND(D81="En attente",A81&lt;TODAY()),"⚠️ En retard",""))</f>
        <v/>
      </c>
    </row>
    <row r="82">
      <c r="A82" s="29" t="n"/>
      <c r="B82" s="27" t="inlineStr"/>
      <c r="C82" s="30" t="n"/>
      <c r="D82" s="27" t="inlineStr"/>
      <c r="E82" s="28" t="inlineStr"/>
      <c r="F82" s="28" t="inlineStr"/>
      <c r="G82" s="33">
        <f>IF(A82="","",IF(AND(D82="En attente",A82&lt;TODAY()),"⚠️ En retard",""))</f>
        <v/>
      </c>
    </row>
    <row r="83">
      <c r="A83" s="29" t="n"/>
      <c r="B83" s="27" t="inlineStr"/>
      <c r="C83" s="30" t="n"/>
      <c r="D83" s="27" t="inlineStr"/>
      <c r="E83" s="28" t="inlineStr"/>
      <c r="F83" s="28" t="inlineStr"/>
      <c r="G83" s="33">
        <f>IF(A83="","",IF(AND(D83="En attente",A83&lt;TODAY()),"⚠️ En retard",""))</f>
        <v/>
      </c>
    </row>
    <row r="84">
      <c r="A84" s="29" t="n"/>
      <c r="B84" s="27" t="inlineStr"/>
      <c r="C84" s="30" t="n"/>
      <c r="D84" s="27" t="inlineStr"/>
      <c r="E84" s="28" t="inlineStr"/>
      <c r="F84" s="28" t="inlineStr"/>
      <c r="G84" s="33">
        <f>IF(A84="","",IF(AND(D84="En attente",A84&lt;TODAY()),"⚠️ En retard",""))</f>
        <v/>
      </c>
    </row>
    <row r="85">
      <c r="A85" s="29" t="n"/>
      <c r="B85" s="27" t="inlineStr"/>
      <c r="C85" s="30" t="n"/>
      <c r="D85" s="27" t="inlineStr"/>
      <c r="E85" s="28" t="inlineStr"/>
      <c r="F85" s="28" t="inlineStr"/>
      <c r="G85" s="33">
        <f>IF(A85="","",IF(AND(D85="En attente",A85&lt;TODAY()),"⚠️ En retard",""))</f>
        <v/>
      </c>
    </row>
    <row r="86">
      <c r="A86" s="29" t="n"/>
      <c r="B86" s="27" t="inlineStr"/>
      <c r="C86" s="30" t="n"/>
      <c r="D86" s="27" t="inlineStr"/>
      <c r="E86" s="28" t="inlineStr"/>
      <c r="F86" s="28" t="inlineStr"/>
      <c r="G86" s="33">
        <f>IF(A86="","",IF(AND(D86="En attente",A86&lt;TODAY()),"⚠️ En retard",""))</f>
        <v/>
      </c>
    </row>
    <row r="87">
      <c r="A87" s="29" t="n"/>
      <c r="B87" s="27" t="inlineStr"/>
      <c r="C87" s="30" t="n"/>
      <c r="D87" s="27" t="inlineStr"/>
      <c r="E87" s="28" t="inlineStr"/>
      <c r="F87" s="28" t="inlineStr"/>
      <c r="G87" s="33">
        <f>IF(A87="","",IF(AND(D87="En attente",A87&lt;TODAY()),"⚠️ En retard",""))</f>
        <v/>
      </c>
    </row>
    <row r="88">
      <c r="A88" s="29" t="n"/>
      <c r="B88" s="27" t="inlineStr"/>
      <c r="C88" s="30" t="n"/>
      <c r="D88" s="27" t="inlineStr"/>
      <c r="E88" s="28" t="inlineStr"/>
      <c r="F88" s="28" t="inlineStr"/>
      <c r="G88" s="33">
        <f>IF(A88="","",IF(AND(D88="En attente",A88&lt;TODAY()),"⚠️ En retard",""))</f>
        <v/>
      </c>
    </row>
    <row r="89">
      <c r="A89" s="29" t="n"/>
      <c r="B89" s="27" t="inlineStr"/>
      <c r="C89" s="30" t="n"/>
      <c r="D89" s="27" t="inlineStr"/>
      <c r="E89" s="28" t="inlineStr"/>
      <c r="F89" s="28" t="inlineStr"/>
      <c r="G89" s="33">
        <f>IF(A89="","",IF(AND(D89="En attente",A89&lt;TODAY()),"⚠️ En retard",""))</f>
        <v/>
      </c>
    </row>
    <row r="90">
      <c r="A90" s="29" t="n"/>
      <c r="B90" s="27" t="inlineStr"/>
      <c r="C90" s="30" t="n"/>
      <c r="D90" s="27" t="inlineStr"/>
      <c r="E90" s="28" t="inlineStr"/>
      <c r="F90" s="28" t="inlineStr"/>
      <c r="G90" s="33">
        <f>IF(A90="","",IF(AND(D90="En attente",A90&lt;TODAY()),"⚠️ En retard",""))</f>
        <v/>
      </c>
    </row>
    <row r="91">
      <c r="A91" s="29" t="n"/>
      <c r="B91" s="27" t="inlineStr"/>
      <c r="C91" s="30" t="n"/>
      <c r="D91" s="27" t="inlineStr"/>
      <c r="E91" s="28" t="inlineStr"/>
      <c r="F91" s="28" t="inlineStr"/>
      <c r="G91" s="33">
        <f>IF(A91="","",IF(AND(D91="En attente",A91&lt;TODAY()),"⚠️ En retard",""))</f>
        <v/>
      </c>
    </row>
    <row r="92">
      <c r="A92" s="29" t="n"/>
      <c r="B92" s="27" t="inlineStr"/>
      <c r="C92" s="30" t="n"/>
      <c r="D92" s="27" t="inlineStr"/>
      <c r="E92" s="28" t="inlineStr"/>
      <c r="F92" s="28" t="inlineStr"/>
      <c r="G92" s="33">
        <f>IF(A92="","",IF(AND(D92="En attente",A92&lt;TODAY()),"⚠️ En retard",""))</f>
        <v/>
      </c>
    </row>
    <row r="93">
      <c r="A93" s="29" t="n"/>
      <c r="B93" s="27" t="inlineStr"/>
      <c r="C93" s="30" t="n"/>
      <c r="D93" s="27" t="inlineStr"/>
      <c r="E93" s="28" t="inlineStr"/>
      <c r="F93" s="28" t="inlineStr"/>
      <c r="G93" s="33">
        <f>IF(A93="","",IF(AND(D93="En attente",A93&lt;TODAY()),"⚠️ En retard",""))</f>
        <v/>
      </c>
    </row>
    <row r="94">
      <c r="A94" s="29" t="n"/>
      <c r="B94" s="27" t="inlineStr"/>
      <c r="C94" s="30" t="n"/>
      <c r="D94" s="27" t="inlineStr"/>
      <c r="E94" s="28" t="inlineStr"/>
      <c r="F94" s="28" t="inlineStr"/>
      <c r="G94" s="33">
        <f>IF(A94="","",IF(AND(D94="En attente",A94&lt;TODAY()),"⚠️ En retard",""))</f>
        <v/>
      </c>
    </row>
    <row r="95">
      <c r="A95" s="29" t="n"/>
      <c r="B95" s="27" t="inlineStr"/>
      <c r="C95" s="30" t="n"/>
      <c r="D95" s="27" t="inlineStr"/>
      <c r="E95" s="28" t="inlineStr"/>
      <c r="F95" s="28" t="inlineStr"/>
      <c r="G95" s="33">
        <f>IF(A95="","",IF(AND(D95="En attente",A95&lt;TODAY()),"⚠️ En retard",""))</f>
        <v/>
      </c>
    </row>
    <row r="96">
      <c r="A96" s="29" t="n"/>
      <c r="B96" s="27" t="inlineStr"/>
      <c r="C96" s="30" t="n"/>
      <c r="D96" s="27" t="inlineStr"/>
      <c r="E96" s="28" t="inlineStr"/>
      <c r="F96" s="28" t="inlineStr"/>
      <c r="G96" s="33">
        <f>IF(A96="","",IF(AND(D96="En attente",A96&lt;TODAY()),"⚠️ En retard",""))</f>
        <v/>
      </c>
    </row>
    <row r="97">
      <c r="A97" s="29" t="n"/>
      <c r="B97" s="27" t="inlineStr"/>
      <c r="C97" s="30" t="n"/>
      <c r="D97" s="27" t="inlineStr"/>
      <c r="E97" s="28" t="inlineStr"/>
      <c r="F97" s="28" t="inlineStr"/>
      <c r="G97" s="33">
        <f>IF(A97="","",IF(AND(D97="En attente",A97&lt;TODAY()),"⚠️ En retard",""))</f>
        <v/>
      </c>
    </row>
    <row r="98">
      <c r="A98" s="29" t="n"/>
      <c r="B98" s="27" t="inlineStr"/>
      <c r="C98" s="30" t="n"/>
      <c r="D98" s="27" t="inlineStr"/>
      <c r="E98" s="28" t="inlineStr"/>
      <c r="F98" s="28" t="inlineStr"/>
      <c r="G98" s="33">
        <f>IF(A98="","",IF(AND(D98="En attente",A98&lt;TODAY()),"⚠️ En retard",""))</f>
        <v/>
      </c>
    </row>
    <row r="99">
      <c r="A99" s="29" t="n"/>
      <c r="B99" s="27" t="inlineStr"/>
      <c r="C99" s="30" t="n"/>
      <c r="D99" s="27" t="inlineStr"/>
      <c r="E99" s="28" t="inlineStr"/>
      <c r="F99" s="28" t="inlineStr"/>
      <c r="G99" s="33">
        <f>IF(A99="","",IF(AND(D99="En attente",A99&lt;TODAY()),"⚠️ En retard",""))</f>
        <v/>
      </c>
    </row>
    <row r="100">
      <c r="A100" s="29" t="n"/>
      <c r="B100" s="27" t="inlineStr"/>
      <c r="C100" s="30" t="n"/>
      <c r="D100" s="27" t="inlineStr"/>
      <c r="E100" s="28" t="inlineStr"/>
      <c r="F100" s="28" t="inlineStr"/>
      <c r="G100" s="33">
        <f>IF(A100="","",IF(AND(D100="En attente",A100&lt;TODAY()),"⚠️ En retard",""))</f>
        <v/>
      </c>
    </row>
    <row r="101">
      <c r="A101" s="29" t="n"/>
      <c r="B101" s="27" t="inlineStr"/>
      <c r="C101" s="30" t="n"/>
      <c r="D101" s="27" t="inlineStr"/>
      <c r="E101" s="28" t="inlineStr"/>
      <c r="F101" s="28" t="inlineStr"/>
      <c r="G101" s="33">
        <f>IF(A101="","",IF(AND(D101="En attente",A101&lt;TODAY()),"⚠️ En retard",""))</f>
        <v/>
      </c>
    </row>
    <row r="102">
      <c r="A102" s="29" t="n"/>
      <c r="B102" s="27" t="inlineStr"/>
      <c r="C102" s="30" t="n"/>
      <c r="D102" s="27" t="inlineStr"/>
      <c r="E102" s="28" t="inlineStr"/>
      <c r="F102" s="28" t="inlineStr"/>
      <c r="G102" s="33">
        <f>IF(A102="","",IF(AND(D102="En attente",A102&lt;TODAY()),"⚠️ En retard",""))</f>
        <v/>
      </c>
    </row>
    <row r="103">
      <c r="A103" s="29" t="n"/>
      <c r="B103" s="27" t="inlineStr"/>
      <c r="C103" s="30" t="n"/>
      <c r="D103" s="27" t="inlineStr"/>
      <c r="E103" s="28" t="inlineStr"/>
      <c r="F103" s="28" t="inlineStr"/>
      <c r="G103" s="33">
        <f>IF(A103="","",IF(AND(D103="En attente",A103&lt;TODAY()),"⚠️ En retard",""))</f>
        <v/>
      </c>
    </row>
    <row r="104">
      <c r="A104" s="29" t="n"/>
      <c r="B104" s="27" t="inlineStr"/>
      <c r="C104" s="30" t="n"/>
      <c r="D104" s="27" t="inlineStr"/>
      <c r="E104" s="28" t="inlineStr"/>
      <c r="F104" s="28" t="inlineStr"/>
      <c r="G104" s="33">
        <f>IF(A104="","",IF(AND(D104="En attente",A104&lt;TODAY()),"⚠️ En retard",""))</f>
        <v/>
      </c>
    </row>
    <row r="105">
      <c r="A105" s="29" t="n"/>
      <c r="B105" s="27" t="inlineStr"/>
      <c r="C105" s="30" t="n"/>
      <c r="D105" s="27" t="inlineStr"/>
      <c r="E105" s="28" t="inlineStr"/>
      <c r="F105" s="28" t="inlineStr"/>
      <c r="G105" s="33">
        <f>IF(A105="","",IF(AND(D105="En attente",A105&lt;TODAY()),"⚠️ En retard",""))</f>
        <v/>
      </c>
    </row>
    <row r="106">
      <c r="A106" s="29" t="n"/>
      <c r="B106" s="27" t="inlineStr"/>
      <c r="C106" s="30" t="n"/>
      <c r="D106" s="27" t="inlineStr"/>
      <c r="E106" s="28" t="inlineStr"/>
      <c r="F106" s="28" t="inlineStr"/>
      <c r="G106" s="33">
        <f>IF(A106="","",IF(AND(D106="En attente",A106&lt;TODAY()),"⚠️ En retard",""))</f>
        <v/>
      </c>
    </row>
    <row r="107">
      <c r="A107" s="29" t="n"/>
      <c r="B107" s="27" t="inlineStr"/>
      <c r="C107" s="30" t="n"/>
      <c r="D107" s="27" t="inlineStr"/>
      <c r="E107" s="28" t="inlineStr"/>
      <c r="F107" s="28" t="inlineStr"/>
      <c r="G107" s="33">
        <f>IF(A107="","",IF(AND(D107="En attente",A107&lt;TODAY()),"⚠️ En retard",""))</f>
        <v/>
      </c>
    </row>
    <row r="108">
      <c r="A108" s="29" t="n"/>
      <c r="B108" s="27" t="inlineStr"/>
      <c r="C108" s="30" t="n"/>
      <c r="D108" s="27" t="inlineStr"/>
      <c r="E108" s="28" t="inlineStr"/>
      <c r="F108" s="28" t="inlineStr"/>
      <c r="G108" s="33">
        <f>IF(A108="","",IF(AND(D108="En attente",A108&lt;TODAY()),"⚠️ En retard",""))</f>
        <v/>
      </c>
    </row>
    <row r="109">
      <c r="A109" s="29" t="n"/>
      <c r="B109" s="27" t="inlineStr"/>
      <c r="C109" s="30" t="n"/>
      <c r="D109" s="27" t="inlineStr"/>
      <c r="E109" s="28" t="inlineStr"/>
      <c r="F109" s="28" t="inlineStr"/>
      <c r="G109" s="33">
        <f>IF(A109="","",IF(AND(D109="En attente",A109&lt;TODAY()),"⚠️ En retard",""))</f>
        <v/>
      </c>
    </row>
    <row r="110">
      <c r="A110" s="29" t="n"/>
      <c r="B110" s="27" t="inlineStr"/>
      <c r="C110" s="30" t="n"/>
      <c r="D110" s="27" t="inlineStr"/>
      <c r="E110" s="28" t="inlineStr"/>
      <c r="F110" s="28" t="inlineStr"/>
      <c r="G110" s="33">
        <f>IF(A110="","",IF(AND(D110="En attente",A110&lt;TODAY()),"⚠️ En retard",""))</f>
        <v/>
      </c>
    </row>
    <row r="111">
      <c r="A111" s="29" t="n"/>
      <c r="B111" s="27" t="inlineStr"/>
      <c r="C111" s="30" t="n"/>
      <c r="D111" s="27" t="inlineStr"/>
      <c r="E111" s="28" t="inlineStr"/>
      <c r="F111" s="28" t="inlineStr"/>
      <c r="G111" s="33">
        <f>IF(A111="","",IF(AND(D111="En attente",A111&lt;TODAY()),"⚠️ En retard",""))</f>
        <v/>
      </c>
    </row>
    <row r="112">
      <c r="A112" s="29" t="n"/>
      <c r="B112" s="27" t="inlineStr"/>
      <c r="C112" s="30" t="n"/>
      <c r="D112" s="27" t="inlineStr"/>
      <c r="E112" s="28" t="inlineStr"/>
      <c r="F112" s="28" t="inlineStr"/>
      <c r="G112" s="33">
        <f>IF(A112="","",IF(AND(D112="En attente",A112&lt;TODAY()),"⚠️ En retard",""))</f>
        <v/>
      </c>
    </row>
    <row r="113">
      <c r="A113" s="29" t="n"/>
      <c r="B113" s="27" t="inlineStr"/>
      <c r="C113" s="30" t="n"/>
      <c r="D113" s="27" t="inlineStr"/>
      <c r="E113" s="28" t="inlineStr"/>
      <c r="F113" s="28" t="inlineStr"/>
      <c r="G113" s="33">
        <f>IF(A113="","",IF(AND(D113="En attente",A113&lt;TODAY()),"⚠️ En retard",""))</f>
        <v/>
      </c>
    </row>
    <row r="114">
      <c r="A114" s="29" t="n"/>
      <c r="B114" s="27" t="inlineStr"/>
      <c r="C114" s="30" t="n"/>
      <c r="D114" s="27" t="inlineStr"/>
      <c r="E114" s="28" t="inlineStr"/>
      <c r="F114" s="28" t="inlineStr"/>
      <c r="G114" s="33">
        <f>IF(A114="","",IF(AND(D114="En attente",A114&lt;TODAY()),"⚠️ En retard",""))</f>
        <v/>
      </c>
    </row>
    <row r="115">
      <c r="A115" s="29" t="n"/>
      <c r="B115" s="27" t="inlineStr"/>
      <c r="C115" s="30" t="n"/>
      <c r="D115" s="27" t="inlineStr"/>
      <c r="E115" s="28" t="inlineStr"/>
      <c r="F115" s="28" t="inlineStr"/>
      <c r="G115" s="33">
        <f>IF(A115="","",IF(AND(D115="En attente",A115&lt;TODAY()),"⚠️ En retard",""))</f>
        <v/>
      </c>
    </row>
    <row r="116">
      <c r="A116" s="29" t="n"/>
      <c r="B116" s="27" t="inlineStr"/>
      <c r="C116" s="30" t="n"/>
      <c r="D116" s="27" t="inlineStr"/>
      <c r="E116" s="28" t="inlineStr"/>
      <c r="F116" s="28" t="inlineStr"/>
      <c r="G116" s="33">
        <f>IF(A116="","",IF(AND(D116="En attente",A116&lt;TODAY()),"⚠️ En retard",""))</f>
        <v/>
      </c>
    </row>
    <row r="117">
      <c r="A117" s="29" t="n"/>
      <c r="B117" s="27" t="inlineStr"/>
      <c r="C117" s="30" t="n"/>
      <c r="D117" s="27" t="inlineStr"/>
      <c r="E117" s="28" t="inlineStr"/>
      <c r="F117" s="28" t="inlineStr"/>
      <c r="G117" s="33">
        <f>IF(A117="","",IF(AND(D117="En attente",A117&lt;TODAY()),"⚠️ En retard",""))</f>
        <v/>
      </c>
    </row>
    <row r="118">
      <c r="A118" s="29" t="n"/>
      <c r="B118" s="27" t="inlineStr"/>
      <c r="C118" s="30" t="n"/>
      <c r="D118" s="27" t="inlineStr"/>
      <c r="E118" s="28" t="inlineStr"/>
      <c r="F118" s="28" t="inlineStr"/>
      <c r="G118" s="33">
        <f>IF(A118="","",IF(AND(D118="En attente",A118&lt;TODAY()),"⚠️ En retard",""))</f>
        <v/>
      </c>
    </row>
    <row r="119">
      <c r="A119" s="29" t="n"/>
      <c r="B119" s="27" t="inlineStr"/>
      <c r="C119" s="30" t="n"/>
      <c r="D119" s="27" t="inlineStr"/>
      <c r="E119" s="28" t="inlineStr"/>
      <c r="F119" s="28" t="inlineStr"/>
      <c r="G119" s="33">
        <f>IF(A119="","",IF(AND(D119="En attente",A119&lt;TODAY()),"⚠️ En retard",""))</f>
        <v/>
      </c>
    </row>
    <row r="120">
      <c r="A120" s="29" t="n"/>
      <c r="B120" s="27" t="inlineStr"/>
      <c r="C120" s="30" t="n"/>
      <c r="D120" s="27" t="inlineStr"/>
      <c r="E120" s="28" t="inlineStr"/>
      <c r="F120" s="28" t="inlineStr"/>
      <c r="G120" s="33">
        <f>IF(A120="","",IF(AND(D120="En attente",A120&lt;TODAY()),"⚠️ En retard",""))</f>
        <v/>
      </c>
    </row>
    <row r="121">
      <c r="A121" s="29" t="n"/>
      <c r="B121" s="27" t="inlineStr"/>
      <c r="C121" s="30" t="n"/>
      <c r="D121" s="27" t="inlineStr"/>
      <c r="E121" s="28" t="inlineStr"/>
      <c r="F121" s="28" t="inlineStr"/>
      <c r="G121" s="33">
        <f>IF(A121="","",IF(AND(D121="En attente",A121&lt;TODAY()),"⚠️ En retard",""))</f>
        <v/>
      </c>
    </row>
    <row r="122">
      <c r="A122" s="29" t="n"/>
      <c r="B122" s="27" t="inlineStr"/>
      <c r="C122" s="30" t="n"/>
      <c r="D122" s="27" t="inlineStr"/>
      <c r="E122" s="28" t="inlineStr"/>
      <c r="F122" s="28" t="inlineStr"/>
      <c r="G122" s="33">
        <f>IF(A122="","",IF(AND(D122="En attente",A122&lt;TODAY()),"⚠️ En retard",""))</f>
        <v/>
      </c>
    </row>
    <row r="123">
      <c r="A123" s="29" t="n"/>
      <c r="B123" s="27" t="inlineStr"/>
      <c r="C123" s="30" t="n"/>
      <c r="D123" s="27" t="inlineStr"/>
      <c r="E123" s="28" t="inlineStr"/>
      <c r="F123" s="28" t="inlineStr"/>
      <c r="G123" s="33">
        <f>IF(A123="","",IF(AND(D123="En attente",A123&lt;TODAY()),"⚠️ En retard",""))</f>
        <v/>
      </c>
    </row>
    <row r="124">
      <c r="A124" s="29" t="n"/>
      <c r="B124" s="27" t="inlineStr"/>
      <c r="C124" s="30" t="n"/>
      <c r="D124" s="27" t="inlineStr"/>
      <c r="E124" s="28" t="inlineStr"/>
      <c r="F124" s="28" t="inlineStr"/>
      <c r="G124" s="33">
        <f>IF(A124="","",IF(AND(D124="En attente",A124&lt;TODAY()),"⚠️ En retard",""))</f>
        <v/>
      </c>
    </row>
    <row r="125">
      <c r="A125" s="29" t="n"/>
      <c r="B125" s="27" t="inlineStr"/>
      <c r="C125" s="30" t="n"/>
      <c r="D125" s="27" t="inlineStr"/>
      <c r="E125" s="28" t="inlineStr"/>
      <c r="F125" s="28" t="inlineStr"/>
      <c r="G125" s="33">
        <f>IF(A125="","",IF(AND(D125="En attente",A125&lt;TODAY()),"⚠️ En retard",""))</f>
        <v/>
      </c>
    </row>
    <row r="126">
      <c r="A126" s="29" t="n"/>
      <c r="B126" s="27" t="inlineStr"/>
      <c r="C126" s="30" t="n"/>
      <c r="D126" s="27" t="inlineStr"/>
      <c r="E126" s="28" t="inlineStr"/>
      <c r="F126" s="28" t="inlineStr"/>
      <c r="G126" s="33">
        <f>IF(A126="","",IF(AND(D126="En attente",A126&lt;TODAY()),"⚠️ En retard",""))</f>
        <v/>
      </c>
    </row>
    <row r="127">
      <c r="A127" s="29" t="n"/>
      <c r="B127" s="27" t="inlineStr"/>
      <c r="C127" s="30" t="n"/>
      <c r="D127" s="27" t="inlineStr"/>
      <c r="E127" s="28" t="inlineStr"/>
      <c r="F127" s="28" t="inlineStr"/>
      <c r="G127" s="33">
        <f>IF(A127="","",IF(AND(D127="En attente",A127&lt;TODAY()),"⚠️ En retard",""))</f>
        <v/>
      </c>
    </row>
    <row r="128">
      <c r="A128" s="29" t="n"/>
      <c r="B128" s="27" t="inlineStr"/>
      <c r="C128" s="30" t="n"/>
      <c r="D128" s="27" t="inlineStr"/>
      <c r="E128" s="28" t="inlineStr"/>
      <c r="F128" s="28" t="inlineStr"/>
      <c r="G128" s="33">
        <f>IF(A128="","",IF(AND(D128="En attente",A128&lt;TODAY()),"⚠️ En retard",""))</f>
        <v/>
      </c>
    </row>
    <row r="129">
      <c r="A129" s="29" t="n"/>
      <c r="B129" s="27" t="inlineStr"/>
      <c r="C129" s="30" t="n"/>
      <c r="D129" s="27" t="inlineStr"/>
      <c r="E129" s="28" t="inlineStr"/>
      <c r="F129" s="28" t="inlineStr"/>
      <c r="G129" s="33">
        <f>IF(A129="","",IF(AND(D129="En attente",A129&lt;TODAY()),"⚠️ En retard",""))</f>
        <v/>
      </c>
    </row>
    <row r="130">
      <c r="A130" s="29" t="n"/>
      <c r="B130" s="27" t="inlineStr"/>
      <c r="C130" s="30" t="n"/>
      <c r="D130" s="27" t="inlineStr"/>
      <c r="E130" s="28" t="inlineStr"/>
      <c r="F130" s="28" t="inlineStr"/>
      <c r="G130" s="33">
        <f>IF(A130="","",IF(AND(D130="En attente",A130&lt;TODAY()),"⚠️ En retard",""))</f>
        <v/>
      </c>
    </row>
    <row r="131">
      <c r="A131" s="29" t="n"/>
      <c r="B131" s="27" t="inlineStr"/>
      <c r="C131" s="30" t="n"/>
      <c r="D131" s="27" t="inlineStr"/>
      <c r="E131" s="28" t="inlineStr"/>
      <c r="F131" s="28" t="inlineStr"/>
      <c r="G131" s="33">
        <f>IF(A131="","",IF(AND(D131="En attente",A131&lt;TODAY()),"⚠️ En retard",""))</f>
        <v/>
      </c>
    </row>
    <row r="132">
      <c r="A132" s="29" t="n"/>
      <c r="B132" s="27" t="inlineStr"/>
      <c r="C132" s="30" t="n"/>
      <c r="D132" s="27" t="inlineStr"/>
      <c r="E132" s="28" t="inlineStr"/>
      <c r="F132" s="28" t="inlineStr"/>
      <c r="G132" s="33">
        <f>IF(A132="","",IF(AND(D132="En attente",A132&lt;TODAY()),"⚠️ En retard",""))</f>
        <v/>
      </c>
    </row>
    <row r="133">
      <c r="A133" s="29" t="n"/>
      <c r="B133" s="27" t="inlineStr"/>
      <c r="C133" s="30" t="n"/>
      <c r="D133" s="27" t="inlineStr"/>
      <c r="E133" s="28" t="inlineStr"/>
      <c r="F133" s="28" t="inlineStr"/>
      <c r="G133" s="33">
        <f>IF(A133="","",IF(AND(D133="En attente",A133&lt;TODAY()),"⚠️ En retard",""))</f>
        <v/>
      </c>
    </row>
    <row r="134">
      <c r="A134" s="29" t="n"/>
      <c r="B134" s="27" t="inlineStr"/>
      <c r="C134" s="30" t="n"/>
      <c r="D134" s="27" t="inlineStr"/>
      <c r="E134" s="28" t="inlineStr"/>
      <c r="F134" s="28" t="inlineStr"/>
      <c r="G134" s="33">
        <f>IF(A134="","",IF(AND(D134="En attente",A134&lt;TODAY()),"⚠️ En retard",""))</f>
        <v/>
      </c>
    </row>
    <row r="135">
      <c r="A135" s="29" t="n"/>
      <c r="B135" s="27" t="inlineStr"/>
      <c r="C135" s="30" t="n"/>
      <c r="D135" s="27" t="inlineStr"/>
      <c r="E135" s="28" t="inlineStr"/>
      <c r="F135" s="28" t="inlineStr"/>
      <c r="G135" s="33">
        <f>IF(A135="","",IF(AND(D135="En attente",A135&lt;TODAY()),"⚠️ En retard",""))</f>
        <v/>
      </c>
    </row>
    <row r="136">
      <c r="A136" s="29" t="n"/>
      <c r="B136" s="27" t="inlineStr"/>
      <c r="C136" s="30" t="n"/>
      <c r="D136" s="27" t="inlineStr"/>
      <c r="E136" s="28" t="inlineStr"/>
      <c r="F136" s="28" t="inlineStr"/>
      <c r="G136" s="33">
        <f>IF(A136="","",IF(AND(D136="En attente",A136&lt;TODAY()),"⚠️ En retard",""))</f>
        <v/>
      </c>
    </row>
    <row r="137">
      <c r="A137" s="29" t="n"/>
      <c r="B137" s="27" t="inlineStr"/>
      <c r="C137" s="30" t="n"/>
      <c r="D137" s="27" t="inlineStr"/>
      <c r="E137" s="28" t="inlineStr"/>
      <c r="F137" s="28" t="inlineStr"/>
      <c r="G137" s="33">
        <f>IF(A137="","",IF(AND(D137="En attente",A137&lt;TODAY()),"⚠️ En retard",""))</f>
        <v/>
      </c>
    </row>
    <row r="138">
      <c r="A138" s="29" t="n"/>
      <c r="B138" s="27" t="inlineStr"/>
      <c r="C138" s="30" t="n"/>
      <c r="D138" s="27" t="inlineStr"/>
      <c r="E138" s="28" t="inlineStr"/>
      <c r="F138" s="28" t="inlineStr"/>
      <c r="G138" s="33">
        <f>IF(A138="","",IF(AND(D138="En attente",A138&lt;TODAY()),"⚠️ En retard",""))</f>
        <v/>
      </c>
    </row>
    <row r="139">
      <c r="A139" s="29" t="n"/>
      <c r="B139" s="27" t="inlineStr"/>
      <c r="C139" s="30" t="n"/>
      <c r="D139" s="27" t="inlineStr"/>
      <c r="E139" s="28" t="inlineStr"/>
      <c r="F139" s="28" t="inlineStr"/>
      <c r="G139" s="33">
        <f>IF(A139="","",IF(AND(D139="En attente",A139&lt;TODAY()),"⚠️ En retard",""))</f>
        <v/>
      </c>
    </row>
    <row r="140">
      <c r="A140" s="29" t="n"/>
      <c r="B140" s="27" t="inlineStr"/>
      <c r="C140" s="30" t="n"/>
      <c r="D140" s="27" t="inlineStr"/>
      <c r="E140" s="28" t="inlineStr"/>
      <c r="F140" s="28" t="inlineStr"/>
      <c r="G140" s="33">
        <f>IF(A140="","",IF(AND(D140="En attente",A140&lt;TODAY()),"⚠️ En retard",""))</f>
        <v/>
      </c>
    </row>
    <row r="141">
      <c r="A141" s="29" t="n"/>
      <c r="B141" s="27" t="inlineStr"/>
      <c r="C141" s="30" t="n"/>
      <c r="D141" s="27" t="inlineStr"/>
      <c r="E141" s="28" t="inlineStr"/>
      <c r="F141" s="28" t="inlineStr"/>
      <c r="G141" s="33">
        <f>IF(A141="","",IF(AND(D141="En attente",A141&lt;TODAY()),"⚠️ En retard",""))</f>
        <v/>
      </c>
    </row>
    <row r="142">
      <c r="A142" s="29" t="n"/>
      <c r="B142" s="27" t="inlineStr"/>
      <c r="C142" s="30" t="n"/>
      <c r="D142" s="27" t="inlineStr"/>
      <c r="E142" s="28" t="inlineStr"/>
      <c r="F142" s="28" t="inlineStr"/>
      <c r="G142" s="33">
        <f>IF(A142="","",IF(AND(D142="En attente",A142&lt;TODAY()),"⚠️ En retard",""))</f>
        <v/>
      </c>
    </row>
    <row r="143">
      <c r="A143" s="29" t="n"/>
      <c r="B143" s="27" t="inlineStr"/>
      <c r="C143" s="30" t="n"/>
      <c r="D143" s="27" t="inlineStr"/>
      <c r="E143" s="28" t="inlineStr"/>
      <c r="F143" s="28" t="inlineStr"/>
      <c r="G143" s="33">
        <f>IF(A143="","",IF(AND(D143="En attente",A143&lt;TODAY()),"⚠️ En retard",""))</f>
        <v/>
      </c>
    </row>
    <row r="144">
      <c r="A144" s="29" t="n"/>
      <c r="B144" s="27" t="inlineStr"/>
      <c r="C144" s="30" t="n"/>
      <c r="D144" s="27" t="inlineStr"/>
      <c r="E144" s="28" t="inlineStr"/>
      <c r="F144" s="28" t="inlineStr"/>
      <c r="G144" s="33">
        <f>IF(A144="","",IF(AND(D144="En attente",A144&lt;TODAY()),"⚠️ En retard",""))</f>
        <v/>
      </c>
    </row>
    <row r="145">
      <c r="A145" s="29" t="n"/>
      <c r="B145" s="27" t="inlineStr"/>
      <c r="C145" s="30" t="n"/>
      <c r="D145" s="27" t="inlineStr"/>
      <c r="E145" s="28" t="inlineStr"/>
      <c r="F145" s="28" t="inlineStr"/>
      <c r="G145" s="33">
        <f>IF(A145="","",IF(AND(D145="En attente",A145&lt;TODAY()),"⚠️ En retard",""))</f>
        <v/>
      </c>
    </row>
    <row r="146">
      <c r="A146" s="29" t="n"/>
      <c r="B146" s="27" t="inlineStr"/>
      <c r="C146" s="30" t="n"/>
      <c r="D146" s="27" t="inlineStr"/>
      <c r="E146" s="28" t="inlineStr"/>
      <c r="F146" s="28" t="inlineStr"/>
      <c r="G146" s="33">
        <f>IF(A146="","",IF(AND(D146="En attente",A146&lt;TODAY()),"⚠️ En retard",""))</f>
        <v/>
      </c>
    </row>
    <row r="147">
      <c r="A147" s="29" t="n"/>
      <c r="B147" s="27" t="inlineStr"/>
      <c r="C147" s="30" t="n"/>
      <c r="D147" s="27" t="inlineStr"/>
      <c r="E147" s="28" t="inlineStr"/>
      <c r="F147" s="28" t="inlineStr"/>
      <c r="G147" s="33">
        <f>IF(A147="","",IF(AND(D147="En attente",A147&lt;TODAY()),"⚠️ En retard",""))</f>
        <v/>
      </c>
    </row>
    <row r="148">
      <c r="A148" s="29" t="n"/>
      <c r="B148" s="27" t="inlineStr"/>
      <c r="C148" s="30" t="n"/>
      <c r="D148" s="27" t="inlineStr"/>
      <c r="E148" s="28" t="inlineStr"/>
      <c r="F148" s="28" t="inlineStr"/>
      <c r="G148" s="33">
        <f>IF(A148="","",IF(AND(D148="En attente",A148&lt;TODAY()),"⚠️ En retard",""))</f>
        <v/>
      </c>
    </row>
    <row r="149">
      <c r="A149" s="29" t="n"/>
      <c r="B149" s="27" t="inlineStr"/>
      <c r="C149" s="30" t="n"/>
      <c r="D149" s="27" t="inlineStr"/>
      <c r="E149" s="28" t="inlineStr"/>
      <c r="F149" s="28" t="inlineStr"/>
      <c r="G149" s="33">
        <f>IF(A149="","",IF(AND(D149="En attente",A149&lt;TODAY()),"⚠️ En retard",""))</f>
        <v/>
      </c>
    </row>
    <row r="150">
      <c r="A150" s="29" t="n"/>
      <c r="B150" s="27" t="inlineStr"/>
      <c r="C150" s="30" t="n"/>
      <c r="D150" s="27" t="inlineStr"/>
      <c r="E150" s="28" t="inlineStr"/>
      <c r="F150" s="28" t="inlineStr"/>
      <c r="G150" s="33">
        <f>IF(A150="","",IF(AND(D150="En attente",A150&lt;TODAY()),"⚠️ En retard",""))</f>
        <v/>
      </c>
    </row>
    <row r="151">
      <c r="A151" s="29" t="n"/>
      <c r="B151" s="27" t="inlineStr"/>
      <c r="C151" s="30" t="n"/>
      <c r="D151" s="27" t="inlineStr"/>
      <c r="E151" s="28" t="inlineStr"/>
      <c r="F151" s="28" t="inlineStr"/>
      <c r="G151" s="33">
        <f>IF(A151="","",IF(AND(D151="En attente",A151&lt;TODAY()),"⚠️ En retard",""))</f>
        <v/>
      </c>
    </row>
    <row r="152">
      <c r="A152" s="29" t="n"/>
      <c r="B152" s="27" t="inlineStr"/>
      <c r="C152" s="30" t="n"/>
      <c r="D152" s="27" t="inlineStr"/>
      <c r="E152" s="28" t="inlineStr"/>
      <c r="F152" s="28" t="inlineStr"/>
      <c r="G152" s="33">
        <f>IF(A152="","",IF(AND(D152="En attente",A152&lt;TODAY()),"⚠️ En retard",""))</f>
        <v/>
      </c>
    </row>
    <row r="153">
      <c r="A153" s="29" t="n"/>
      <c r="B153" s="27" t="inlineStr"/>
      <c r="C153" s="30" t="n"/>
      <c r="D153" s="27" t="inlineStr"/>
      <c r="E153" s="28" t="inlineStr"/>
      <c r="F153" s="28" t="inlineStr"/>
      <c r="G153" s="33">
        <f>IF(A153="","",IF(AND(D153="En attente",A153&lt;TODAY()),"⚠️ En retard",""))</f>
        <v/>
      </c>
    </row>
    <row r="154">
      <c r="A154" s="29" t="n"/>
      <c r="B154" s="27" t="inlineStr"/>
      <c r="C154" s="30" t="n"/>
      <c r="D154" s="27" t="inlineStr"/>
      <c r="E154" s="28" t="inlineStr"/>
      <c r="F154" s="28" t="inlineStr"/>
      <c r="G154" s="33">
        <f>IF(A154="","",IF(AND(D154="En attente",A154&lt;TODAY()),"⚠️ En retard",""))</f>
        <v/>
      </c>
    </row>
  </sheetData>
  <sheetProtection selectLockedCells="0" selectUnlockedCells="0" sheet="1" objects="0" insertRows="1" insertHyperlinks="1" autoFilter="1" scenarios="0" formatColumns="1" deleteColumns="1" insertColumns="1" pivotTables="1" deleteRows="0" formatCells="0" formatRows="1" sort="1" password="C9B6"/>
  <autoFilter ref="A4:G154"/>
  <mergeCells count="2">
    <mergeCell ref="A2:G2"/>
    <mergeCell ref="A1:G1"/>
  </mergeCells>
  <conditionalFormatting sqref="G5:G154">
    <cfRule type="expression" priority="1" dxfId="6">
      <formula>G5="⚠️ En retard"</formula>
    </cfRule>
  </conditionalFormatting>
  <conditionalFormatting sqref="D5:D154">
    <cfRule type="expression" priority="2" dxfId="3">
      <formula>D5="Fait"</formula>
    </cfRule>
    <cfRule type="expression" priority="3" dxfId="2">
      <formula>D5="En attente"</formula>
    </cfRule>
  </conditionalFormatting>
  <dataValidations count="2">
    <dataValidation sqref="B5:B154" showDropDown="0" showInputMessage="0" showErrorMessage="0" allowBlank="1" type="list">
      <formula1>=Biens!$A$5:$A$300</formula1>
    </dataValidation>
    <dataValidation sqref="D5:D154" showDropDown="0" showInputMessage="0" showErrorMessage="0" allowBlank="1" type="list">
      <formula1>=Paramètres!$D$7:$D$8</formula1>
    </dataValidation>
  </dataValidation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tabColor rgb="00C9A227"/>
    <outlinePr summaryBelow="1" summaryRight="1"/>
    <pageSetUpPr/>
  </sheetPr>
  <dimension ref="A1:I64"/>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34" customWidth="1" min="3" max="3"/>
    <col width="11" customWidth="1" min="4" max="4"/>
    <col width="12" customWidth="1" min="5" max="5"/>
    <col width="13" customWidth="1" min="6" max="6"/>
    <col width="14" customWidth="1" min="7" max="7"/>
    <col width="26" customWidth="1" min="8" max="8"/>
    <col width="10" customWidth="1" min="9" max="9"/>
  </cols>
  <sheetData>
    <row r="1" ht="26" customHeight="1">
      <c r="A1" s="12" t="inlineStr">
        <is>
          <t>MAINTENANCE — Suivi des incidents</t>
        </is>
      </c>
      <c r="B1" s="2" t="n"/>
      <c r="C1" s="2" t="n"/>
      <c r="D1" s="2" t="n"/>
      <c r="E1" s="2" t="n"/>
      <c r="F1" s="2" t="n"/>
      <c r="G1" s="2" t="n"/>
      <c r="H1" s="2" t="n"/>
      <c r="I1" s="2" t="n"/>
    </row>
    <row r="2">
      <c r="A2" s="25" t="inlineStr">
        <is>
          <t>Une ligne par incident signalé. Priorisez selon l'urgence pour le confort du voyageur.</t>
        </is>
      </c>
    </row>
    <row r="4" ht="30" customHeight="1">
      <c r="A4" s="20" t="inlineStr">
        <is>
          <t>Date signalement</t>
        </is>
      </c>
      <c r="B4" s="20" t="inlineStr">
        <is>
          <t>Bien</t>
        </is>
      </c>
      <c r="C4" s="20" t="inlineStr">
        <is>
          <t>Description incident</t>
        </is>
      </c>
      <c r="D4" s="20" t="inlineStr">
        <is>
          <t>Priorité</t>
        </is>
      </c>
      <c r="E4" s="20" t="inlineStr">
        <is>
          <t>Statut</t>
        </is>
      </c>
      <c r="F4" s="20" t="inlineStr">
        <is>
          <t>Coût</t>
        </is>
      </c>
      <c r="G4" s="20" t="inlineStr">
        <is>
          <t>Date résolution</t>
        </is>
      </c>
      <c r="H4" s="20" t="inlineStr">
        <is>
          <t>Notes</t>
        </is>
      </c>
      <c r="I4" s="20" t="inlineStr">
        <is>
          <t>Mois</t>
        </is>
      </c>
    </row>
    <row r="5">
      <c r="A5" s="29" t="inlineStr">
        <is>
          <t>2026-07-05</t>
        </is>
      </c>
      <c r="B5" s="27" t="inlineStr">
        <is>
          <t>Bien 1</t>
        </is>
      </c>
      <c r="C5" s="28" t="inlineStr">
        <is>
          <t>Ex: Climatiseur en panne</t>
        </is>
      </c>
      <c r="D5" s="27" t="inlineStr">
        <is>
          <t>Haute</t>
        </is>
      </c>
      <c r="E5" s="27" t="inlineStr">
        <is>
          <t>Résolu</t>
        </is>
      </c>
      <c r="F5" s="31" t="n">
        <v>350</v>
      </c>
      <c r="G5" s="29" t="inlineStr">
        <is>
          <t>2026-07-06</t>
        </is>
      </c>
      <c r="H5" s="28" t="inlineStr"/>
      <c r="I5" s="33">
        <f>IF(A5="","",TEXT(A5,"yyyy-mm"))</f>
        <v/>
      </c>
    </row>
    <row r="6">
      <c r="A6" s="29" t="n"/>
      <c r="B6" s="27" t="inlineStr"/>
      <c r="C6" s="28" t="inlineStr"/>
      <c r="D6" s="27" t="inlineStr"/>
      <c r="E6" s="27" t="inlineStr"/>
      <c r="F6" s="31" t="n"/>
      <c r="G6" s="29" t="n"/>
      <c r="H6" s="28" t="inlineStr"/>
      <c r="I6" s="33">
        <f>IF(A6="","",TEXT(A6,"yyyy-mm"))</f>
        <v/>
      </c>
    </row>
    <row r="7">
      <c r="A7" s="29" t="n"/>
      <c r="B7" s="27" t="inlineStr"/>
      <c r="C7" s="28" t="inlineStr"/>
      <c r="D7" s="27" t="inlineStr"/>
      <c r="E7" s="27" t="inlineStr"/>
      <c r="F7" s="31" t="n"/>
      <c r="G7" s="29" t="n"/>
      <c r="H7" s="28" t="inlineStr"/>
      <c r="I7" s="33">
        <f>IF(A7="","",TEXT(A7,"yyyy-mm"))</f>
        <v/>
      </c>
    </row>
    <row r="8">
      <c r="A8" s="29" t="n"/>
      <c r="B8" s="27" t="inlineStr"/>
      <c r="C8" s="28" t="inlineStr"/>
      <c r="D8" s="27" t="inlineStr"/>
      <c r="E8" s="27" t="inlineStr"/>
      <c r="F8" s="31" t="n"/>
      <c r="G8" s="29" t="n"/>
      <c r="H8" s="28" t="inlineStr"/>
      <c r="I8" s="33">
        <f>IF(A8="","",TEXT(A8,"yyyy-mm"))</f>
        <v/>
      </c>
    </row>
    <row r="9">
      <c r="A9" s="29" t="n"/>
      <c r="B9" s="27" t="inlineStr"/>
      <c r="C9" s="28" t="inlineStr"/>
      <c r="D9" s="27" t="inlineStr"/>
      <c r="E9" s="27" t="inlineStr"/>
      <c r="F9" s="31" t="n"/>
      <c r="G9" s="29" t="n"/>
      <c r="H9" s="28" t="inlineStr"/>
      <c r="I9" s="33">
        <f>IF(A9="","",TEXT(A9,"yyyy-mm"))</f>
        <v/>
      </c>
    </row>
    <row r="10">
      <c r="A10" s="29" t="n"/>
      <c r="B10" s="27" t="inlineStr"/>
      <c r="C10" s="28" t="inlineStr"/>
      <c r="D10" s="27" t="inlineStr"/>
      <c r="E10" s="27" t="inlineStr"/>
      <c r="F10" s="31" t="n"/>
      <c r="G10" s="29" t="n"/>
      <c r="H10" s="28" t="inlineStr"/>
      <c r="I10" s="33">
        <f>IF(A10="","",TEXT(A10,"yyyy-mm"))</f>
        <v/>
      </c>
    </row>
    <row r="11">
      <c r="A11" s="29" t="n"/>
      <c r="B11" s="27" t="inlineStr"/>
      <c r="C11" s="28" t="inlineStr"/>
      <c r="D11" s="27" t="inlineStr"/>
      <c r="E11" s="27" t="inlineStr"/>
      <c r="F11" s="31" t="n"/>
      <c r="G11" s="29" t="n"/>
      <c r="H11" s="28" t="inlineStr"/>
      <c r="I11" s="33">
        <f>IF(A11="","",TEXT(A11,"yyyy-mm"))</f>
        <v/>
      </c>
    </row>
    <row r="12">
      <c r="A12" s="29" t="n"/>
      <c r="B12" s="27" t="inlineStr"/>
      <c r="C12" s="28" t="inlineStr"/>
      <c r="D12" s="27" t="inlineStr"/>
      <c r="E12" s="27" t="inlineStr"/>
      <c r="F12" s="31" t="n"/>
      <c r="G12" s="29" t="n"/>
      <c r="H12" s="28" t="inlineStr"/>
      <c r="I12" s="33">
        <f>IF(A12="","",TEXT(A12,"yyyy-mm"))</f>
        <v/>
      </c>
    </row>
    <row r="13">
      <c r="A13" s="29" t="n"/>
      <c r="B13" s="27" t="inlineStr"/>
      <c r="C13" s="28" t="inlineStr"/>
      <c r="D13" s="27" t="inlineStr"/>
      <c r="E13" s="27" t="inlineStr"/>
      <c r="F13" s="31" t="n"/>
      <c r="G13" s="29" t="n"/>
      <c r="H13" s="28" t="inlineStr"/>
      <c r="I13" s="33">
        <f>IF(A13="","",TEXT(A13,"yyyy-mm"))</f>
        <v/>
      </c>
    </row>
    <row r="14">
      <c r="A14" s="29" t="n"/>
      <c r="B14" s="27" t="inlineStr"/>
      <c r="C14" s="28" t="inlineStr"/>
      <c r="D14" s="27" t="inlineStr"/>
      <c r="E14" s="27" t="inlineStr"/>
      <c r="F14" s="31" t="n"/>
      <c r="G14" s="29" t="n"/>
      <c r="H14" s="28" t="inlineStr"/>
      <c r="I14" s="33">
        <f>IF(A14="","",TEXT(A14,"yyyy-mm"))</f>
        <v/>
      </c>
    </row>
    <row r="15">
      <c r="A15" s="29" t="n"/>
      <c r="B15" s="27" t="inlineStr"/>
      <c r="C15" s="28" t="inlineStr"/>
      <c r="D15" s="27" t="inlineStr"/>
      <c r="E15" s="27" t="inlineStr"/>
      <c r="F15" s="31" t="n"/>
      <c r="G15" s="29" t="n"/>
      <c r="H15" s="28" t="inlineStr"/>
      <c r="I15" s="33">
        <f>IF(A15="","",TEXT(A15,"yyyy-mm"))</f>
        <v/>
      </c>
    </row>
    <row r="16">
      <c r="A16" s="29" t="n"/>
      <c r="B16" s="27" t="inlineStr"/>
      <c r="C16" s="28" t="inlineStr"/>
      <c r="D16" s="27" t="inlineStr"/>
      <c r="E16" s="27" t="inlineStr"/>
      <c r="F16" s="31" t="n"/>
      <c r="G16" s="29" t="n"/>
      <c r="H16" s="28" t="inlineStr"/>
      <c r="I16" s="33">
        <f>IF(A16="","",TEXT(A16,"yyyy-mm"))</f>
        <v/>
      </c>
    </row>
    <row r="17">
      <c r="A17" s="29" t="n"/>
      <c r="B17" s="27" t="inlineStr"/>
      <c r="C17" s="28" t="inlineStr"/>
      <c r="D17" s="27" t="inlineStr"/>
      <c r="E17" s="27" t="inlineStr"/>
      <c r="F17" s="31" t="n"/>
      <c r="G17" s="29" t="n"/>
      <c r="H17" s="28" t="inlineStr"/>
      <c r="I17" s="33">
        <f>IF(A17="","",TEXT(A17,"yyyy-mm"))</f>
        <v/>
      </c>
    </row>
    <row r="18">
      <c r="A18" s="29" t="n"/>
      <c r="B18" s="27" t="inlineStr"/>
      <c r="C18" s="28" t="inlineStr"/>
      <c r="D18" s="27" t="inlineStr"/>
      <c r="E18" s="27" t="inlineStr"/>
      <c r="F18" s="31" t="n"/>
      <c r="G18" s="29" t="n"/>
      <c r="H18" s="28" t="inlineStr"/>
      <c r="I18" s="33">
        <f>IF(A18="","",TEXT(A18,"yyyy-mm"))</f>
        <v/>
      </c>
    </row>
    <row r="19">
      <c r="A19" s="29" t="n"/>
      <c r="B19" s="27" t="inlineStr"/>
      <c r="C19" s="28" t="inlineStr"/>
      <c r="D19" s="27" t="inlineStr"/>
      <c r="E19" s="27" t="inlineStr"/>
      <c r="F19" s="31" t="n"/>
      <c r="G19" s="29" t="n"/>
      <c r="H19" s="28" t="inlineStr"/>
      <c r="I19" s="33">
        <f>IF(A19="","",TEXT(A19,"yyyy-mm"))</f>
        <v/>
      </c>
    </row>
    <row r="20">
      <c r="A20" s="29" t="n"/>
      <c r="B20" s="27" t="inlineStr"/>
      <c r="C20" s="28" t="inlineStr"/>
      <c r="D20" s="27" t="inlineStr"/>
      <c r="E20" s="27" t="inlineStr"/>
      <c r="F20" s="31" t="n"/>
      <c r="G20" s="29" t="n"/>
      <c r="H20" s="28" t="inlineStr"/>
      <c r="I20" s="33">
        <f>IF(A20="","",TEXT(A20,"yyyy-mm"))</f>
        <v/>
      </c>
    </row>
    <row r="21">
      <c r="A21" s="29" t="n"/>
      <c r="B21" s="27" t="inlineStr"/>
      <c r="C21" s="28" t="inlineStr"/>
      <c r="D21" s="27" t="inlineStr"/>
      <c r="E21" s="27" t="inlineStr"/>
      <c r="F21" s="31" t="n"/>
      <c r="G21" s="29" t="n"/>
      <c r="H21" s="28" t="inlineStr"/>
      <c r="I21" s="33">
        <f>IF(A21="","",TEXT(A21,"yyyy-mm"))</f>
        <v/>
      </c>
    </row>
    <row r="22">
      <c r="A22" s="29" t="n"/>
      <c r="B22" s="27" t="inlineStr"/>
      <c r="C22" s="28" t="inlineStr"/>
      <c r="D22" s="27" t="inlineStr"/>
      <c r="E22" s="27" t="inlineStr"/>
      <c r="F22" s="31" t="n"/>
      <c r="G22" s="29" t="n"/>
      <c r="H22" s="28" t="inlineStr"/>
      <c r="I22" s="33">
        <f>IF(A22="","",TEXT(A22,"yyyy-mm"))</f>
        <v/>
      </c>
    </row>
    <row r="23">
      <c r="A23" s="29" t="n"/>
      <c r="B23" s="27" t="inlineStr"/>
      <c r="C23" s="28" t="inlineStr"/>
      <c r="D23" s="27" t="inlineStr"/>
      <c r="E23" s="27" t="inlineStr"/>
      <c r="F23" s="31" t="n"/>
      <c r="G23" s="29" t="n"/>
      <c r="H23" s="28" t="inlineStr"/>
      <c r="I23" s="33">
        <f>IF(A23="","",TEXT(A23,"yyyy-mm"))</f>
        <v/>
      </c>
    </row>
    <row r="24">
      <c r="A24" s="29" t="n"/>
      <c r="B24" s="27" t="inlineStr"/>
      <c r="C24" s="28" t="inlineStr"/>
      <c r="D24" s="27" t="inlineStr"/>
      <c r="E24" s="27" t="inlineStr"/>
      <c r="F24" s="31" t="n"/>
      <c r="G24" s="29" t="n"/>
      <c r="H24" s="28" t="inlineStr"/>
      <c r="I24" s="33">
        <f>IF(A24="","",TEXT(A24,"yyyy-mm"))</f>
        <v/>
      </c>
    </row>
    <row r="25">
      <c r="A25" s="29" t="n"/>
      <c r="B25" s="27" t="inlineStr"/>
      <c r="C25" s="28" t="inlineStr"/>
      <c r="D25" s="27" t="inlineStr"/>
      <c r="E25" s="27" t="inlineStr"/>
      <c r="F25" s="31" t="n"/>
      <c r="G25" s="29" t="n"/>
      <c r="H25" s="28" t="inlineStr"/>
      <c r="I25" s="33">
        <f>IF(A25="","",TEXT(A25,"yyyy-mm"))</f>
        <v/>
      </c>
    </row>
    <row r="26">
      <c r="A26" s="29" t="n"/>
      <c r="B26" s="27" t="inlineStr"/>
      <c r="C26" s="28" t="inlineStr"/>
      <c r="D26" s="27" t="inlineStr"/>
      <c r="E26" s="27" t="inlineStr"/>
      <c r="F26" s="31" t="n"/>
      <c r="G26" s="29" t="n"/>
      <c r="H26" s="28" t="inlineStr"/>
      <c r="I26" s="33">
        <f>IF(A26="","",TEXT(A26,"yyyy-mm"))</f>
        <v/>
      </c>
    </row>
    <row r="27">
      <c r="A27" s="29" t="n"/>
      <c r="B27" s="27" t="inlineStr"/>
      <c r="C27" s="28" t="inlineStr"/>
      <c r="D27" s="27" t="inlineStr"/>
      <c r="E27" s="27" t="inlineStr"/>
      <c r="F27" s="31" t="n"/>
      <c r="G27" s="29" t="n"/>
      <c r="H27" s="28" t="inlineStr"/>
      <c r="I27" s="33">
        <f>IF(A27="","",TEXT(A27,"yyyy-mm"))</f>
        <v/>
      </c>
    </row>
    <row r="28">
      <c r="A28" s="29" t="n"/>
      <c r="B28" s="27" t="inlineStr"/>
      <c r="C28" s="28" t="inlineStr"/>
      <c r="D28" s="27" t="inlineStr"/>
      <c r="E28" s="27" t="inlineStr"/>
      <c r="F28" s="31" t="n"/>
      <c r="G28" s="29" t="n"/>
      <c r="H28" s="28" t="inlineStr"/>
      <c r="I28" s="33">
        <f>IF(A28="","",TEXT(A28,"yyyy-mm"))</f>
        <v/>
      </c>
    </row>
    <row r="29">
      <c r="A29" s="29" t="n"/>
      <c r="B29" s="27" t="inlineStr"/>
      <c r="C29" s="28" t="inlineStr"/>
      <c r="D29" s="27" t="inlineStr"/>
      <c r="E29" s="27" t="inlineStr"/>
      <c r="F29" s="31" t="n"/>
      <c r="G29" s="29" t="n"/>
      <c r="H29" s="28" t="inlineStr"/>
      <c r="I29" s="33">
        <f>IF(A29="","",TEXT(A29,"yyyy-mm"))</f>
        <v/>
      </c>
    </row>
    <row r="30">
      <c r="A30" s="29" t="n"/>
      <c r="B30" s="27" t="inlineStr"/>
      <c r="C30" s="28" t="inlineStr"/>
      <c r="D30" s="27" t="inlineStr"/>
      <c r="E30" s="27" t="inlineStr"/>
      <c r="F30" s="31" t="n"/>
      <c r="G30" s="29" t="n"/>
      <c r="H30" s="28" t="inlineStr"/>
      <c r="I30" s="33">
        <f>IF(A30="","",TEXT(A30,"yyyy-mm"))</f>
        <v/>
      </c>
    </row>
    <row r="31">
      <c r="A31" s="29" t="n"/>
      <c r="B31" s="27" t="inlineStr"/>
      <c r="C31" s="28" t="inlineStr"/>
      <c r="D31" s="27" t="inlineStr"/>
      <c r="E31" s="27" t="inlineStr"/>
      <c r="F31" s="31" t="n"/>
      <c r="G31" s="29" t="n"/>
      <c r="H31" s="28" t="inlineStr"/>
      <c r="I31" s="33">
        <f>IF(A31="","",TEXT(A31,"yyyy-mm"))</f>
        <v/>
      </c>
    </row>
    <row r="32">
      <c r="A32" s="29" t="n"/>
      <c r="B32" s="27" t="inlineStr"/>
      <c r="C32" s="28" t="inlineStr"/>
      <c r="D32" s="27" t="inlineStr"/>
      <c r="E32" s="27" t="inlineStr"/>
      <c r="F32" s="31" t="n"/>
      <c r="G32" s="29" t="n"/>
      <c r="H32" s="28" t="inlineStr"/>
      <c r="I32" s="33">
        <f>IF(A32="","",TEXT(A32,"yyyy-mm"))</f>
        <v/>
      </c>
    </row>
    <row r="33">
      <c r="A33" s="29" t="n"/>
      <c r="B33" s="27" t="inlineStr"/>
      <c r="C33" s="28" t="inlineStr"/>
      <c r="D33" s="27" t="inlineStr"/>
      <c r="E33" s="27" t="inlineStr"/>
      <c r="F33" s="31" t="n"/>
      <c r="G33" s="29" t="n"/>
      <c r="H33" s="28" t="inlineStr"/>
      <c r="I33" s="33">
        <f>IF(A33="","",TEXT(A33,"yyyy-mm"))</f>
        <v/>
      </c>
    </row>
    <row r="34">
      <c r="A34" s="29" t="n"/>
      <c r="B34" s="27" t="inlineStr"/>
      <c r="C34" s="28" t="inlineStr"/>
      <c r="D34" s="27" t="inlineStr"/>
      <c r="E34" s="27" t="inlineStr"/>
      <c r="F34" s="31" t="n"/>
      <c r="G34" s="29" t="n"/>
      <c r="H34" s="28" t="inlineStr"/>
      <c r="I34" s="33">
        <f>IF(A34="","",TEXT(A34,"yyyy-mm"))</f>
        <v/>
      </c>
    </row>
    <row r="35">
      <c r="A35" s="29" t="n"/>
      <c r="B35" s="27" t="inlineStr"/>
      <c r="C35" s="28" t="inlineStr"/>
      <c r="D35" s="27" t="inlineStr"/>
      <c r="E35" s="27" t="inlineStr"/>
      <c r="F35" s="31" t="n"/>
      <c r="G35" s="29" t="n"/>
      <c r="H35" s="28" t="inlineStr"/>
      <c r="I35" s="33">
        <f>IF(A35="","",TEXT(A35,"yyyy-mm"))</f>
        <v/>
      </c>
    </row>
    <row r="36">
      <c r="A36" s="29" t="n"/>
      <c r="B36" s="27" t="inlineStr"/>
      <c r="C36" s="28" t="inlineStr"/>
      <c r="D36" s="27" t="inlineStr"/>
      <c r="E36" s="27" t="inlineStr"/>
      <c r="F36" s="31" t="n"/>
      <c r="G36" s="29" t="n"/>
      <c r="H36" s="28" t="inlineStr"/>
      <c r="I36" s="33">
        <f>IF(A36="","",TEXT(A36,"yyyy-mm"))</f>
        <v/>
      </c>
    </row>
    <row r="37">
      <c r="A37" s="29" t="n"/>
      <c r="B37" s="27" t="inlineStr"/>
      <c r="C37" s="28" t="inlineStr"/>
      <c r="D37" s="27" t="inlineStr"/>
      <c r="E37" s="27" t="inlineStr"/>
      <c r="F37" s="31" t="n"/>
      <c r="G37" s="29" t="n"/>
      <c r="H37" s="28" t="inlineStr"/>
      <c r="I37" s="33">
        <f>IF(A37="","",TEXT(A37,"yyyy-mm"))</f>
        <v/>
      </c>
    </row>
    <row r="38">
      <c r="A38" s="29" t="n"/>
      <c r="B38" s="27" t="inlineStr"/>
      <c r="C38" s="28" t="inlineStr"/>
      <c r="D38" s="27" t="inlineStr"/>
      <c r="E38" s="27" t="inlineStr"/>
      <c r="F38" s="31" t="n"/>
      <c r="G38" s="29" t="n"/>
      <c r="H38" s="28" t="inlineStr"/>
      <c r="I38" s="33">
        <f>IF(A38="","",TEXT(A38,"yyyy-mm"))</f>
        <v/>
      </c>
    </row>
    <row r="39">
      <c r="A39" s="29" t="n"/>
      <c r="B39" s="27" t="inlineStr"/>
      <c r="C39" s="28" t="inlineStr"/>
      <c r="D39" s="27" t="inlineStr"/>
      <c r="E39" s="27" t="inlineStr"/>
      <c r="F39" s="31" t="n"/>
      <c r="G39" s="29" t="n"/>
      <c r="H39" s="28" t="inlineStr"/>
      <c r="I39" s="33">
        <f>IF(A39="","",TEXT(A39,"yyyy-mm"))</f>
        <v/>
      </c>
    </row>
    <row r="40">
      <c r="A40" s="29" t="n"/>
      <c r="B40" s="27" t="inlineStr"/>
      <c r="C40" s="28" t="inlineStr"/>
      <c r="D40" s="27" t="inlineStr"/>
      <c r="E40" s="27" t="inlineStr"/>
      <c r="F40" s="31" t="n"/>
      <c r="G40" s="29" t="n"/>
      <c r="H40" s="28" t="inlineStr"/>
      <c r="I40" s="33">
        <f>IF(A40="","",TEXT(A40,"yyyy-mm"))</f>
        <v/>
      </c>
    </row>
    <row r="41">
      <c r="A41" s="29" t="n"/>
      <c r="B41" s="27" t="inlineStr"/>
      <c r="C41" s="28" t="inlineStr"/>
      <c r="D41" s="27" t="inlineStr"/>
      <c r="E41" s="27" t="inlineStr"/>
      <c r="F41" s="31" t="n"/>
      <c r="G41" s="29" t="n"/>
      <c r="H41" s="28" t="inlineStr"/>
      <c r="I41" s="33">
        <f>IF(A41="","",TEXT(A41,"yyyy-mm"))</f>
        <v/>
      </c>
    </row>
    <row r="42">
      <c r="A42" s="29" t="n"/>
      <c r="B42" s="27" t="inlineStr"/>
      <c r="C42" s="28" t="inlineStr"/>
      <c r="D42" s="27" t="inlineStr"/>
      <c r="E42" s="27" t="inlineStr"/>
      <c r="F42" s="31" t="n"/>
      <c r="G42" s="29" t="n"/>
      <c r="H42" s="28" t="inlineStr"/>
      <c r="I42" s="33">
        <f>IF(A42="","",TEXT(A42,"yyyy-mm"))</f>
        <v/>
      </c>
    </row>
    <row r="43">
      <c r="A43" s="29" t="n"/>
      <c r="B43" s="27" t="inlineStr"/>
      <c r="C43" s="28" t="inlineStr"/>
      <c r="D43" s="27" t="inlineStr"/>
      <c r="E43" s="27" t="inlineStr"/>
      <c r="F43" s="31" t="n"/>
      <c r="G43" s="29" t="n"/>
      <c r="H43" s="28" t="inlineStr"/>
      <c r="I43" s="33">
        <f>IF(A43="","",TEXT(A43,"yyyy-mm"))</f>
        <v/>
      </c>
    </row>
    <row r="44">
      <c r="A44" s="29" t="n"/>
      <c r="B44" s="27" t="inlineStr"/>
      <c r="C44" s="28" t="inlineStr"/>
      <c r="D44" s="27" t="inlineStr"/>
      <c r="E44" s="27" t="inlineStr"/>
      <c r="F44" s="31" t="n"/>
      <c r="G44" s="29" t="n"/>
      <c r="H44" s="28" t="inlineStr"/>
      <c r="I44" s="33">
        <f>IF(A44="","",TEXT(A44,"yyyy-mm"))</f>
        <v/>
      </c>
    </row>
    <row r="45">
      <c r="A45" s="29" t="n"/>
      <c r="B45" s="27" t="inlineStr"/>
      <c r="C45" s="28" t="inlineStr"/>
      <c r="D45" s="27" t="inlineStr"/>
      <c r="E45" s="27" t="inlineStr"/>
      <c r="F45" s="31" t="n"/>
      <c r="G45" s="29" t="n"/>
      <c r="H45" s="28" t="inlineStr"/>
      <c r="I45" s="33">
        <f>IF(A45="","",TEXT(A45,"yyyy-mm"))</f>
        <v/>
      </c>
    </row>
    <row r="46">
      <c r="A46" s="29" t="n"/>
      <c r="B46" s="27" t="inlineStr"/>
      <c r="C46" s="28" t="inlineStr"/>
      <c r="D46" s="27" t="inlineStr"/>
      <c r="E46" s="27" t="inlineStr"/>
      <c r="F46" s="31" t="n"/>
      <c r="G46" s="29" t="n"/>
      <c r="H46" s="28" t="inlineStr"/>
      <c r="I46" s="33">
        <f>IF(A46="","",TEXT(A46,"yyyy-mm"))</f>
        <v/>
      </c>
    </row>
    <row r="47">
      <c r="A47" s="29" t="n"/>
      <c r="B47" s="27" t="inlineStr"/>
      <c r="C47" s="28" t="inlineStr"/>
      <c r="D47" s="27" t="inlineStr"/>
      <c r="E47" s="27" t="inlineStr"/>
      <c r="F47" s="31" t="n"/>
      <c r="G47" s="29" t="n"/>
      <c r="H47" s="28" t="inlineStr"/>
      <c r="I47" s="33">
        <f>IF(A47="","",TEXT(A47,"yyyy-mm"))</f>
        <v/>
      </c>
    </row>
    <row r="48">
      <c r="A48" s="29" t="n"/>
      <c r="B48" s="27" t="inlineStr"/>
      <c r="C48" s="28" t="inlineStr"/>
      <c r="D48" s="27" t="inlineStr"/>
      <c r="E48" s="27" t="inlineStr"/>
      <c r="F48" s="31" t="n"/>
      <c r="G48" s="29" t="n"/>
      <c r="H48" s="28" t="inlineStr"/>
      <c r="I48" s="33">
        <f>IF(A48="","",TEXT(A48,"yyyy-mm"))</f>
        <v/>
      </c>
    </row>
    <row r="49">
      <c r="A49" s="29" t="n"/>
      <c r="B49" s="27" t="inlineStr"/>
      <c r="C49" s="28" t="inlineStr"/>
      <c r="D49" s="27" t="inlineStr"/>
      <c r="E49" s="27" t="inlineStr"/>
      <c r="F49" s="31" t="n"/>
      <c r="G49" s="29" t="n"/>
      <c r="H49" s="28" t="inlineStr"/>
      <c r="I49" s="33">
        <f>IF(A49="","",TEXT(A49,"yyyy-mm"))</f>
        <v/>
      </c>
    </row>
    <row r="50">
      <c r="A50" s="29" t="n"/>
      <c r="B50" s="27" t="inlineStr"/>
      <c r="C50" s="28" t="inlineStr"/>
      <c r="D50" s="27" t="inlineStr"/>
      <c r="E50" s="27" t="inlineStr"/>
      <c r="F50" s="31" t="n"/>
      <c r="G50" s="29" t="n"/>
      <c r="H50" s="28" t="inlineStr"/>
      <c r="I50" s="33">
        <f>IF(A50="","",TEXT(A50,"yyyy-mm"))</f>
        <v/>
      </c>
    </row>
    <row r="51">
      <c r="A51" s="29" t="n"/>
      <c r="B51" s="27" t="inlineStr"/>
      <c r="C51" s="28" t="inlineStr"/>
      <c r="D51" s="27" t="inlineStr"/>
      <c r="E51" s="27" t="inlineStr"/>
      <c r="F51" s="31" t="n"/>
      <c r="G51" s="29" t="n"/>
      <c r="H51" s="28" t="inlineStr"/>
      <c r="I51" s="33">
        <f>IF(A51="","",TEXT(A51,"yyyy-mm"))</f>
        <v/>
      </c>
    </row>
    <row r="52">
      <c r="A52" s="29" t="n"/>
      <c r="B52" s="27" t="inlineStr"/>
      <c r="C52" s="28" t="inlineStr"/>
      <c r="D52" s="27" t="inlineStr"/>
      <c r="E52" s="27" t="inlineStr"/>
      <c r="F52" s="31" t="n"/>
      <c r="G52" s="29" t="n"/>
      <c r="H52" s="28" t="inlineStr"/>
      <c r="I52" s="33">
        <f>IF(A52="","",TEXT(A52,"yyyy-mm"))</f>
        <v/>
      </c>
    </row>
    <row r="53">
      <c r="A53" s="29" t="n"/>
      <c r="B53" s="27" t="inlineStr"/>
      <c r="C53" s="28" t="inlineStr"/>
      <c r="D53" s="27" t="inlineStr"/>
      <c r="E53" s="27" t="inlineStr"/>
      <c r="F53" s="31" t="n"/>
      <c r="G53" s="29" t="n"/>
      <c r="H53" s="28" t="inlineStr"/>
      <c r="I53" s="33">
        <f>IF(A53="","",TEXT(A53,"yyyy-mm"))</f>
        <v/>
      </c>
    </row>
    <row r="54">
      <c r="A54" s="29" t="n"/>
      <c r="B54" s="27" t="inlineStr"/>
      <c r="C54" s="28" t="inlineStr"/>
      <c r="D54" s="27" t="inlineStr"/>
      <c r="E54" s="27" t="inlineStr"/>
      <c r="F54" s="31" t="n"/>
      <c r="G54" s="29" t="n"/>
      <c r="H54" s="28" t="inlineStr"/>
      <c r="I54" s="33">
        <f>IF(A54="","",TEXT(A54,"yyyy-mm"))</f>
        <v/>
      </c>
    </row>
    <row r="55">
      <c r="A55" s="29" t="n"/>
      <c r="B55" s="27" t="inlineStr"/>
      <c r="C55" s="28" t="inlineStr"/>
      <c r="D55" s="27" t="inlineStr"/>
      <c r="E55" s="27" t="inlineStr"/>
      <c r="F55" s="31" t="n"/>
      <c r="G55" s="29" t="n"/>
      <c r="H55" s="28" t="inlineStr"/>
      <c r="I55" s="33">
        <f>IF(A55="","",TEXT(A55,"yyyy-mm"))</f>
        <v/>
      </c>
    </row>
    <row r="56">
      <c r="A56" s="29" t="n"/>
      <c r="B56" s="27" t="inlineStr"/>
      <c r="C56" s="28" t="inlineStr"/>
      <c r="D56" s="27" t="inlineStr"/>
      <c r="E56" s="27" t="inlineStr"/>
      <c r="F56" s="31" t="n"/>
      <c r="G56" s="29" t="n"/>
      <c r="H56" s="28" t="inlineStr"/>
      <c r="I56" s="33">
        <f>IF(A56="","",TEXT(A56,"yyyy-mm"))</f>
        <v/>
      </c>
    </row>
    <row r="57">
      <c r="A57" s="29" t="n"/>
      <c r="B57" s="27" t="inlineStr"/>
      <c r="C57" s="28" t="inlineStr"/>
      <c r="D57" s="27" t="inlineStr"/>
      <c r="E57" s="27" t="inlineStr"/>
      <c r="F57" s="31" t="n"/>
      <c r="G57" s="29" t="n"/>
      <c r="H57" s="28" t="inlineStr"/>
      <c r="I57" s="33">
        <f>IF(A57="","",TEXT(A57,"yyyy-mm"))</f>
        <v/>
      </c>
    </row>
    <row r="58">
      <c r="A58" s="29" t="n"/>
      <c r="B58" s="27" t="inlineStr"/>
      <c r="C58" s="28" t="inlineStr"/>
      <c r="D58" s="27" t="inlineStr"/>
      <c r="E58" s="27" t="inlineStr"/>
      <c r="F58" s="31" t="n"/>
      <c r="G58" s="29" t="n"/>
      <c r="H58" s="28" t="inlineStr"/>
      <c r="I58" s="33">
        <f>IF(A58="","",TEXT(A58,"yyyy-mm"))</f>
        <v/>
      </c>
    </row>
    <row r="59">
      <c r="A59" s="29" t="n"/>
      <c r="B59" s="27" t="inlineStr"/>
      <c r="C59" s="28" t="inlineStr"/>
      <c r="D59" s="27" t="inlineStr"/>
      <c r="E59" s="27" t="inlineStr"/>
      <c r="F59" s="31" t="n"/>
      <c r="G59" s="29" t="n"/>
      <c r="H59" s="28" t="inlineStr"/>
      <c r="I59" s="33">
        <f>IF(A59="","",TEXT(A59,"yyyy-mm"))</f>
        <v/>
      </c>
    </row>
    <row r="60">
      <c r="A60" s="29" t="n"/>
      <c r="B60" s="27" t="inlineStr"/>
      <c r="C60" s="28" t="inlineStr"/>
      <c r="D60" s="27" t="inlineStr"/>
      <c r="E60" s="27" t="inlineStr"/>
      <c r="F60" s="31" t="n"/>
      <c r="G60" s="29" t="n"/>
      <c r="H60" s="28" t="inlineStr"/>
      <c r="I60" s="33">
        <f>IF(A60="","",TEXT(A60,"yyyy-mm"))</f>
        <v/>
      </c>
    </row>
    <row r="61">
      <c r="A61" s="29" t="n"/>
      <c r="B61" s="27" t="inlineStr"/>
      <c r="C61" s="28" t="inlineStr"/>
      <c r="D61" s="27" t="inlineStr"/>
      <c r="E61" s="27" t="inlineStr"/>
      <c r="F61" s="31" t="n"/>
      <c r="G61" s="29" t="n"/>
      <c r="H61" s="28" t="inlineStr"/>
      <c r="I61" s="33">
        <f>IF(A61="","",TEXT(A61,"yyyy-mm"))</f>
        <v/>
      </c>
    </row>
    <row r="62">
      <c r="A62" s="29" t="n"/>
      <c r="B62" s="27" t="inlineStr"/>
      <c r="C62" s="28" t="inlineStr"/>
      <c r="D62" s="27" t="inlineStr"/>
      <c r="E62" s="27" t="inlineStr"/>
      <c r="F62" s="31" t="n"/>
      <c r="G62" s="29" t="n"/>
      <c r="H62" s="28" t="inlineStr"/>
      <c r="I62" s="33">
        <f>IF(A62="","",TEXT(A62,"yyyy-mm"))</f>
        <v/>
      </c>
    </row>
    <row r="63">
      <c r="A63" s="29" t="n"/>
      <c r="B63" s="27" t="inlineStr"/>
      <c r="C63" s="28" t="inlineStr"/>
      <c r="D63" s="27" t="inlineStr"/>
      <c r="E63" s="27" t="inlineStr"/>
      <c r="F63" s="31" t="n"/>
      <c r="G63" s="29" t="n"/>
      <c r="H63" s="28" t="inlineStr"/>
      <c r="I63" s="33">
        <f>IF(A63="","",TEXT(A63,"yyyy-mm"))</f>
        <v/>
      </c>
    </row>
    <row r="64">
      <c r="A64" s="29" t="n"/>
      <c r="B64" s="27" t="inlineStr"/>
      <c r="C64" s="28" t="inlineStr"/>
      <c r="D64" s="27" t="inlineStr"/>
      <c r="E64" s="27" t="inlineStr"/>
      <c r="F64" s="31" t="n"/>
      <c r="G64" s="29" t="n"/>
      <c r="H64" s="28" t="inlineStr"/>
      <c r="I64" s="33">
        <f>IF(A64="","",TEXT(A64,"yyyy-mm"))</f>
        <v/>
      </c>
    </row>
  </sheetData>
  <sheetProtection selectLockedCells="0" selectUnlockedCells="0" sheet="1" objects="0" insertRows="1" insertHyperlinks="1" autoFilter="1" scenarios="0" formatColumns="1" deleteColumns="1" insertColumns="1" pivotTables="1" deleteRows="0" formatCells="0" formatRows="1" sort="1" password="C9B6"/>
  <autoFilter ref="A4:I64"/>
  <mergeCells count="2">
    <mergeCell ref="A1:I1"/>
    <mergeCell ref="A2:I2"/>
  </mergeCells>
  <conditionalFormatting sqref="D5:D64">
    <cfRule type="expression" priority="1" dxfId="6">
      <formula>D5="Urgente"</formula>
    </cfRule>
    <cfRule type="expression" priority="2" dxfId="7">
      <formula>D5="Haute"</formula>
    </cfRule>
  </conditionalFormatting>
  <conditionalFormatting sqref="E5:E64">
    <cfRule type="expression" priority="3" dxfId="3">
      <formula>E5="Résolu"</formula>
    </cfRule>
  </conditionalFormatting>
  <dataValidations count="3">
    <dataValidation sqref="B5:B64" showDropDown="0" showInputMessage="0" showErrorMessage="0" allowBlank="1" type="list">
      <formula1>=Biens!$A$5:$A$300</formula1>
    </dataValidation>
    <dataValidation sqref="D5:D64" showDropDown="0" showInputMessage="0" showErrorMessage="0" allowBlank="1" type="list">
      <formula1>=Paramètres!$E$7:$E$10</formula1>
    </dataValidation>
    <dataValidation sqref="E5:E64" showDropDown="0" showInputMessage="0" showErrorMessage="0" allowBlank="1" type="list">
      <formula1>=Paramètres!$F$7:$F$9</formula1>
    </dataValidation>
  </dataValidation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tabColor rgb="00C9A227"/>
    <outlinePr summaryBelow="1" summaryRight="1"/>
    <pageSetUpPr/>
  </sheetPr>
  <dimension ref="A1:P23"/>
  <sheetViews>
    <sheetView showGridLines="0" workbookViewId="0">
      <selection activeCell="A1" sqref="A1"/>
    </sheetView>
  </sheetViews>
  <sheetFormatPr baseColWidth="8" defaultRowHeight="15"/>
  <cols>
    <col width="4" customWidth="1" min="1" max="1"/>
    <col width="14" customWidth="1" min="2" max="2"/>
    <col width="14" customWidth="1" min="3" max="3"/>
    <col width="14" customWidth="1" min="4" max="4"/>
    <col width="4" customWidth="1" min="5" max="5"/>
    <col width="14" customWidth="1" min="6" max="6"/>
    <col width="14" customWidth="1" min="7" max="7"/>
    <col width="14" customWidth="1" min="8" max="8"/>
    <col width="4" customWidth="1" min="9" max="9"/>
    <col width="14" customWidth="1" min="10" max="10"/>
    <col width="14" customWidth="1" min="11" max="11"/>
    <col width="14" customWidth="1" min="12" max="12"/>
    <col width="4" customWidth="1" min="13" max="13"/>
    <col width="14" customWidth="1" min="14" max="14"/>
    <col width="14" customWidth="1" min="15" max="15"/>
    <col width="14" customWidth="1" min="16" max="16"/>
  </cols>
  <sheetData>
    <row r="1" ht="26" customHeight="1">
      <c r="A1" s="12" t="inlineStr">
        <is>
          <t>ALERTES — Ce qui mérite votre attention aujourd'hui</t>
        </is>
      </c>
      <c r="B1" s="2" t="n"/>
      <c r="C1" s="2" t="n"/>
      <c r="D1" s="2" t="n"/>
      <c r="E1" s="2" t="n"/>
      <c r="F1" s="2" t="n"/>
      <c r="G1" s="2" t="n"/>
      <c r="H1" s="2" t="n"/>
      <c r="I1" s="2" t="n"/>
      <c r="J1" s="2" t="n"/>
      <c r="K1" s="2" t="n"/>
      <c r="L1" s="2" t="n"/>
      <c r="M1" s="2" t="n"/>
      <c r="N1" s="2" t="n"/>
      <c r="O1" s="2" t="n"/>
      <c r="P1" s="2" t="n"/>
    </row>
    <row r="2">
      <c r="A2" s="25" t="inlineStr">
        <is>
          <t>Ces compteurs se mettent à jour automatiquement. Filtrez les colonnes correspondantes dans chaque onglet pour voir le détail.</t>
        </is>
      </c>
    </row>
    <row r="5">
      <c r="B5" s="14" t="inlineStr">
        <is>
          <t>PAIEMENTS EN RETARD</t>
        </is>
      </c>
      <c r="C5" s="2" t="n"/>
      <c r="D5" s="2" t="n"/>
      <c r="F5" s="14" t="inlineStr">
        <is>
          <t>MÉNAGES OUBLIÉS</t>
        </is>
      </c>
      <c r="G5" s="2" t="n"/>
      <c r="H5" s="2" t="n"/>
      <c r="J5" s="14" t="inlineStr">
        <is>
          <t>RENTABILITÉ FAIBLE (MOIS EN COURS)</t>
        </is>
      </c>
      <c r="K5" s="2" t="n"/>
      <c r="L5" s="2" t="n"/>
      <c r="N5" s="14" t="inlineStr">
        <is>
          <t>LOGEMENTS VIDES &gt; SEUIL</t>
        </is>
      </c>
      <c r="O5" s="2" t="n"/>
      <c r="P5" s="2" t="n"/>
    </row>
    <row r="6">
      <c r="B6" s="15">
        <f>COUNTIF(T_Reservations[Retard paiement],"⚠️ Retard")</f>
        <v/>
      </c>
      <c r="C6" s="16" t="n"/>
      <c r="D6" s="16" t="n"/>
      <c r="F6" s="15">
        <f>COUNTIF(T_Menage[Alerte],"⚠️ En retard")</f>
        <v/>
      </c>
      <c r="G6" s="16" t="n"/>
      <c r="H6" s="16" t="n"/>
      <c r="J6" s="15">
        <f>COUNTIFS(T_Finances[Mois],TEXT(TODAY(),"yyyy-mm"),T_Finances[Alerte rentabilité],"⚠️ Faible")</f>
        <v/>
      </c>
      <c r="K6" s="16" t="n"/>
      <c r="L6" s="16" t="n"/>
      <c r="N6" s="15">
        <f>COUNTIF($E$14:$E$23,"⚠️ Vide trop longtemps")</f>
        <v/>
      </c>
      <c r="O6" s="16" t="n"/>
      <c r="P6" s="16" t="n"/>
    </row>
    <row r="7">
      <c r="B7" s="16" t="n"/>
      <c r="C7" s="16" t="n"/>
      <c r="D7" s="16" t="n"/>
      <c r="F7" s="16" t="n"/>
      <c r="G7" s="16" t="n"/>
      <c r="H7" s="16" t="n"/>
      <c r="J7" s="16" t="n"/>
      <c r="K7" s="16" t="n"/>
      <c r="L7" s="16" t="n"/>
      <c r="N7" s="16" t="n"/>
      <c r="O7" s="16" t="n"/>
      <c r="P7" s="16" t="n"/>
    </row>
    <row r="11" ht="20" customHeight="1">
      <c r="A11" s="5" t="inlineStr">
        <is>
          <t>Détail — Logements vides depuis trop longtemps (vs seuil défini dans Paramètres)</t>
        </is>
      </c>
    </row>
    <row r="13" ht="30" customHeight="1">
      <c r="B13" s="20" t="inlineStr">
        <is>
          <t>Bien</t>
        </is>
      </c>
      <c r="C13" s="20" t="inlineStr">
        <is>
          <t>Dernier départ</t>
        </is>
      </c>
      <c r="D13" s="20" t="inlineStr">
        <is>
          <t>Jours sans réservation</t>
        </is>
      </c>
      <c r="E13" s="20" t="inlineStr">
        <is>
          <t>Alerte</t>
        </is>
      </c>
    </row>
    <row r="14">
      <c r="B14" s="33">
        <f>IF(Biens!A5="","",Biens!A5)</f>
        <v/>
      </c>
      <c r="C14" s="38">
        <f>IF(B14="","",IF(COUNTIFS(T_Reservations[Bien],B14,T_Reservations[Statut],"&lt;&gt;Annulée")=0,"",_xlfn.MAXIFS(T_Reservations[Départ],T_Reservations[Bien],B14,T_Reservations[Statut],"&lt;&gt;Annulée")))</f>
        <v/>
      </c>
      <c r="D14" s="26">
        <f>IF(OR(B14="",C14=""),"",TODAY()-C14)</f>
        <v/>
      </c>
      <c r="E14" s="33">
        <f>IF(D14="","",IF(D14&gt;Seuil_Vide,"⚠️ Vide trop longtemps",""))</f>
        <v/>
      </c>
    </row>
    <row r="15">
      <c r="B15" s="33">
        <f>IF(Biens!A6="","",Biens!A6)</f>
        <v/>
      </c>
      <c r="C15" s="38">
        <f>IF(B15="","",IF(COUNTIFS(T_Reservations[Bien],B15,T_Reservations[Statut],"&lt;&gt;Annulée")=0,"",_xlfn.MAXIFS(T_Reservations[Départ],T_Reservations[Bien],B15,T_Reservations[Statut],"&lt;&gt;Annulée")))</f>
        <v/>
      </c>
      <c r="D15" s="26">
        <f>IF(OR(B15="",C15=""),"",TODAY()-C15)</f>
        <v/>
      </c>
      <c r="E15" s="33">
        <f>IF(D15="","",IF(D15&gt;Seuil_Vide,"⚠️ Vide trop longtemps",""))</f>
        <v/>
      </c>
    </row>
    <row r="16">
      <c r="B16" s="33">
        <f>IF(Biens!A7="","",Biens!A7)</f>
        <v/>
      </c>
      <c r="C16" s="38">
        <f>IF(B16="","",IF(COUNTIFS(T_Reservations[Bien],B16,T_Reservations[Statut],"&lt;&gt;Annulée")=0,"",_xlfn.MAXIFS(T_Reservations[Départ],T_Reservations[Bien],B16,T_Reservations[Statut],"&lt;&gt;Annulée")))</f>
        <v/>
      </c>
      <c r="D16" s="26">
        <f>IF(OR(B16="",C16=""),"",TODAY()-C16)</f>
        <v/>
      </c>
      <c r="E16" s="33">
        <f>IF(D16="","",IF(D16&gt;Seuil_Vide,"⚠️ Vide trop longtemps",""))</f>
        <v/>
      </c>
    </row>
    <row r="17">
      <c r="B17" s="33">
        <f>IF(Biens!A8="","",Biens!A8)</f>
        <v/>
      </c>
      <c r="C17" s="38">
        <f>IF(B17="","",IF(COUNTIFS(T_Reservations[Bien],B17,T_Reservations[Statut],"&lt;&gt;Annulée")=0,"",_xlfn.MAXIFS(T_Reservations[Départ],T_Reservations[Bien],B17,T_Reservations[Statut],"&lt;&gt;Annulée")))</f>
        <v/>
      </c>
      <c r="D17" s="26">
        <f>IF(OR(B17="",C17=""),"",TODAY()-C17)</f>
        <v/>
      </c>
      <c r="E17" s="33">
        <f>IF(D17="","",IF(D17&gt;Seuil_Vide,"⚠️ Vide trop longtemps",""))</f>
        <v/>
      </c>
    </row>
    <row r="18">
      <c r="B18" s="33">
        <f>IF(Biens!A9="","",Biens!A9)</f>
        <v/>
      </c>
      <c r="C18" s="38">
        <f>IF(B18="","",IF(COUNTIFS(T_Reservations[Bien],B18,T_Reservations[Statut],"&lt;&gt;Annulée")=0,"",_xlfn.MAXIFS(T_Reservations[Départ],T_Reservations[Bien],B18,T_Reservations[Statut],"&lt;&gt;Annulée")))</f>
        <v/>
      </c>
      <c r="D18" s="26">
        <f>IF(OR(B18="",C18=""),"",TODAY()-C18)</f>
        <v/>
      </c>
      <c r="E18" s="33">
        <f>IF(D18="","",IF(D18&gt;Seuil_Vide,"⚠️ Vide trop longtemps",""))</f>
        <v/>
      </c>
    </row>
    <row r="19">
      <c r="B19" s="33">
        <f>IF(Biens!A10="","",Biens!A10)</f>
        <v/>
      </c>
      <c r="C19" s="38">
        <f>IF(B19="","",IF(COUNTIFS(T_Reservations[Bien],B19,T_Reservations[Statut],"&lt;&gt;Annulée")=0,"",_xlfn.MAXIFS(T_Reservations[Départ],T_Reservations[Bien],B19,T_Reservations[Statut],"&lt;&gt;Annulée")))</f>
        <v/>
      </c>
      <c r="D19" s="26">
        <f>IF(OR(B19="",C19=""),"",TODAY()-C19)</f>
        <v/>
      </c>
      <c r="E19" s="33">
        <f>IF(D19="","",IF(D19&gt;Seuil_Vide,"⚠️ Vide trop longtemps",""))</f>
        <v/>
      </c>
    </row>
    <row r="20">
      <c r="B20" s="33">
        <f>IF(Biens!A11="","",Biens!A11)</f>
        <v/>
      </c>
      <c r="C20" s="38">
        <f>IF(B20="","",IF(COUNTIFS(T_Reservations[Bien],B20,T_Reservations[Statut],"&lt;&gt;Annulée")=0,"",_xlfn.MAXIFS(T_Reservations[Départ],T_Reservations[Bien],B20,T_Reservations[Statut],"&lt;&gt;Annulée")))</f>
        <v/>
      </c>
      <c r="D20" s="26">
        <f>IF(OR(B20="",C20=""),"",TODAY()-C20)</f>
        <v/>
      </c>
      <c r="E20" s="33">
        <f>IF(D20="","",IF(D20&gt;Seuil_Vide,"⚠️ Vide trop longtemps",""))</f>
        <v/>
      </c>
    </row>
    <row r="21">
      <c r="B21" s="33">
        <f>IF(Biens!A12="","",Biens!A12)</f>
        <v/>
      </c>
      <c r="C21" s="38">
        <f>IF(B21="","",IF(COUNTIFS(T_Reservations[Bien],B21,T_Reservations[Statut],"&lt;&gt;Annulée")=0,"",_xlfn.MAXIFS(T_Reservations[Départ],T_Reservations[Bien],B21,T_Reservations[Statut],"&lt;&gt;Annulée")))</f>
        <v/>
      </c>
      <c r="D21" s="26">
        <f>IF(OR(B21="",C21=""),"",TODAY()-C21)</f>
        <v/>
      </c>
      <c r="E21" s="33">
        <f>IF(D21="","",IF(D21&gt;Seuil_Vide,"⚠️ Vide trop longtemps",""))</f>
        <v/>
      </c>
    </row>
    <row r="22">
      <c r="B22" s="33">
        <f>IF(Biens!A13="","",Biens!A13)</f>
        <v/>
      </c>
      <c r="C22" s="38">
        <f>IF(B22="","",IF(COUNTIFS(T_Reservations[Bien],B22,T_Reservations[Statut],"&lt;&gt;Annulée")=0,"",_xlfn.MAXIFS(T_Reservations[Départ],T_Reservations[Bien],B22,T_Reservations[Statut],"&lt;&gt;Annulée")))</f>
        <v/>
      </c>
      <c r="D22" s="26">
        <f>IF(OR(B22="",C22=""),"",TODAY()-C22)</f>
        <v/>
      </c>
      <c r="E22" s="33">
        <f>IF(D22="","",IF(D22&gt;Seuil_Vide,"⚠️ Vide trop longtemps",""))</f>
        <v/>
      </c>
    </row>
    <row r="23">
      <c r="B23" s="33">
        <f>IF(Biens!A14="","",Biens!A14)</f>
        <v/>
      </c>
      <c r="C23" s="38">
        <f>IF(B23="","",IF(COUNTIFS(T_Reservations[Bien],B23,T_Reservations[Statut],"&lt;&gt;Annulée")=0,"",_xlfn.MAXIFS(T_Reservations[Départ],T_Reservations[Bien],B23,T_Reservations[Statut],"&lt;&gt;Annulée")))</f>
        <v/>
      </c>
      <c r="D23" s="26">
        <f>IF(OR(B23="",C23=""),"",TODAY()-C23)</f>
        <v/>
      </c>
      <c r="E23" s="33">
        <f>IF(D23="","",IF(D23&gt;Seuil_Vide,"⚠️ Vide trop longtemps",""))</f>
        <v/>
      </c>
    </row>
  </sheetData>
  <sheetProtection selectLockedCells="0" selectUnlockedCells="0" sheet="1" objects="0" insertRows="0" insertHyperlinks="1" autoFilter="1" scenarios="0" formatColumns="1" deleteColumns="1" insertColumns="1" pivotTables="1" deleteRows="0" formatCells="0" formatRows="1" sort="1" password="C9B6"/>
  <mergeCells count="11">
    <mergeCell ref="N6:P7"/>
    <mergeCell ref="J5:L5"/>
    <mergeCell ref="A11:P11"/>
    <mergeCell ref="B5:D5"/>
    <mergeCell ref="B6:D7"/>
    <mergeCell ref="F5:H5"/>
    <mergeCell ref="F6:H7"/>
    <mergeCell ref="J6:L7"/>
    <mergeCell ref="A1:P1"/>
    <mergeCell ref="N5:P5"/>
    <mergeCell ref="A2:P2"/>
  </mergeCells>
  <conditionalFormatting sqref="B6">
    <cfRule type="cellIs" priority="1" operator="greaterThan" dxfId="0">
      <formula>0</formula>
    </cfRule>
    <cfRule type="cellIs" priority="2" operator="equal" dxfId="1">
      <formula>0</formula>
    </cfRule>
  </conditionalFormatting>
  <conditionalFormatting sqref="F6">
    <cfRule type="cellIs" priority="3" operator="greaterThan" dxfId="0">
      <formula>0</formula>
    </cfRule>
    <cfRule type="cellIs" priority="4" operator="equal" dxfId="1">
      <formula>0</formula>
    </cfRule>
  </conditionalFormatting>
  <conditionalFormatting sqref="J6">
    <cfRule type="cellIs" priority="5" operator="greaterThan" dxfId="0">
      <formula>0</formula>
    </cfRule>
    <cfRule type="cellIs" priority="6" operator="equal" dxfId="1">
      <formula>0</formula>
    </cfRule>
  </conditionalFormatting>
  <conditionalFormatting sqref="N6">
    <cfRule type="cellIs" priority="7" operator="greaterThan" dxfId="0">
      <formula>0</formula>
    </cfRule>
    <cfRule type="cellIs" priority="8" operator="equal" dxfId="1">
      <formula>0</formula>
    </cfRule>
  </conditionalFormatting>
  <conditionalFormatting sqref="E14:E23">
    <cfRule type="expression" priority="9" dxfId="6">
      <formula>E14="⚠️ Vide trop longtemps"</formula>
    </cfRule>
  </conditionalFormatting>
  <pageMargins left="0.75" right="0.75" top="1" bottom="1" header="0.5" footer="0.5"/>
</worksheet>
</file>

<file path=xl/worksheets/sheet11.xml><?xml version="1.0" encoding="utf-8"?>
<worksheet xmlns="http://schemas.openxmlformats.org/spreadsheetml/2006/main">
  <sheetPr>
    <tabColor rgb="00C9A227"/>
    <outlinePr summaryBelow="1" summaryRight="1"/>
    <pageSetUpPr fitToPage="1"/>
  </sheetPr>
  <dimension ref="A1:G31"/>
  <sheetViews>
    <sheetView showGridLines="0" workbookViewId="0">
      <selection activeCell="A1" sqref="A1"/>
    </sheetView>
  </sheetViews>
  <sheetFormatPr baseColWidth="8" defaultRowHeight="15"/>
  <cols>
    <col width="3" customWidth="1" min="1" max="1"/>
    <col width="26" customWidth="1" min="2" max="2"/>
    <col width="22" customWidth="1" min="3" max="3"/>
    <col width="4" customWidth="1" min="4" max="4"/>
    <col width="22" customWidth="1" min="5" max="5"/>
    <col width="22" customWidth="1" min="6" max="6"/>
    <col width="3" customWidth="1" min="7" max="7"/>
  </cols>
  <sheetData>
    <row r="1" ht="26" customHeight="1">
      <c r="A1" s="12" t="inlineStr">
        <is>
          <t>MG HÔTE — FACTURE PROPRIÉTAIRE</t>
        </is>
      </c>
      <c r="B1" s="2" t="n"/>
      <c r="C1" s="2" t="n"/>
      <c r="D1" s="2" t="n"/>
      <c r="E1" s="2" t="n"/>
      <c r="F1" s="2" t="n"/>
      <c r="G1" s="2" t="n"/>
    </row>
    <row r="2">
      <c r="A2" s="25" t="inlineStr">
        <is>
          <t>Sélectionnez le bien et le mois : la facture se génère automatiquement depuis l'onglet Finances.</t>
        </is>
      </c>
    </row>
    <row r="4" ht="20" customHeight="1">
      <c r="A4" s="5" t="inlineStr">
        <is>
          <t>Sélection</t>
        </is>
      </c>
    </row>
    <row r="6">
      <c r="B6" s="39" t="inlineStr">
        <is>
          <t>Bien</t>
        </is>
      </c>
      <c r="C6" s="27" t="inlineStr">
        <is>
          <t>Bien 1</t>
        </is>
      </c>
      <c r="E6" s="39" t="inlineStr">
        <is>
          <t>Mois (aaaa-mm)</t>
        </is>
      </c>
      <c r="F6" s="27" t="inlineStr">
        <is>
          <t>2026-07</t>
        </is>
      </c>
    </row>
    <row r="7">
      <c r="B7" s="39" t="inlineStr">
        <is>
          <t>N° de facture</t>
        </is>
      </c>
      <c r="C7" s="40">
        <f>"FACT-"&amp;C6&amp;"-"&amp;F6</f>
        <v/>
      </c>
      <c r="E7" s="39" t="inlineStr">
        <is>
          <t>Date d'émission</t>
        </is>
      </c>
      <c r="F7" s="38">
        <f>TODAY()</f>
        <v/>
      </c>
    </row>
    <row r="9" ht="20" customHeight="1">
      <c r="A9" s="5" t="inlineStr">
        <is>
          <t>Propriétaire</t>
        </is>
      </c>
    </row>
    <row r="11">
      <c r="B11" s="39" t="inlineStr">
        <is>
          <t>Nom</t>
        </is>
      </c>
      <c r="C11" s="18">
        <f>IFERROR(INDEX(Biens!$H:$H,MATCH($C$6,Biens!$A:$A,0)),"")</f>
        <v/>
      </c>
      <c r="E11" s="39" t="inlineStr">
        <is>
          <t>Mode de paiement</t>
        </is>
      </c>
      <c r="F11" s="18">
        <f>IFERROR(INDEX(Propriétaires!$H:$H,MATCH($C$11,Propriétaires!$B:$B,0)),"Virement")</f>
        <v/>
      </c>
    </row>
    <row r="12">
      <c r="B12" s="39" t="inlineStr">
        <is>
          <t>RIB / IBAN</t>
        </is>
      </c>
      <c r="C12" s="18">
        <f>IFERROR(INDEX(Propriétaires!$G:$G,MATCH($C$11,Propriétaires!$B:$B,0)),"")</f>
        <v/>
      </c>
    </row>
    <row r="14" ht="20" customHeight="1">
      <c r="A14" s="5" t="inlineStr">
        <is>
          <t>Détail financier du mois</t>
        </is>
      </c>
    </row>
    <row r="16" ht="30" customHeight="1">
      <c r="B16" s="20" t="inlineStr">
        <is>
          <t>Poste</t>
        </is>
      </c>
      <c r="C16" s="20" t="inlineStr">
        <is>
          <t>Montant</t>
        </is>
      </c>
    </row>
    <row r="17">
      <c r="B17" s="35" t="inlineStr">
        <is>
          <t>Revenu locatif brut</t>
        </is>
      </c>
      <c r="C17" s="41">
        <f>SUMIFS(T_Reservations[Prix total (TTC)],T_Reservations[Bien],$C$6,T_Reservations[Mois],$F$6,T_Reservations[Statut],"&lt;&gt;Annulée")</f>
        <v/>
      </c>
    </row>
    <row r="18">
      <c r="B18" s="35" t="inlineStr">
        <is>
          <t>Ménage</t>
        </is>
      </c>
      <c r="C18" s="41">
        <f>-SUMIFS(T_Finances[Ménage],T_Finances[Bien],$C$6,T_Finances[Mois],$F$6)</f>
        <v/>
      </c>
    </row>
    <row r="19">
      <c r="B19" s="35" t="inlineStr">
        <is>
          <t>Consommables</t>
        </is>
      </c>
      <c r="C19" s="41">
        <f>-SUMIFS(T_Finances[Consommables],T_Finances[Bien],$C$6,T_Finances[Mois],$F$6)</f>
        <v/>
      </c>
    </row>
    <row r="20">
      <c r="B20" s="35" t="inlineStr">
        <is>
          <t>Électricité</t>
        </is>
      </c>
      <c r="C20" s="41">
        <f>-SUMIFS(T_Finances[Électricité],T_Finances[Bien],$C$6,T_Finances[Mois],$F$6)</f>
        <v/>
      </c>
    </row>
    <row r="21">
      <c r="B21" s="35" t="inlineStr">
        <is>
          <t>Eau</t>
        </is>
      </c>
      <c r="C21" s="41">
        <f>-SUMIFS(T_Finances[Eau],T_Finances[Bien],$C$6,T_Finances[Mois],$F$6)</f>
        <v/>
      </c>
    </row>
    <row r="22">
      <c r="B22" s="35" t="inlineStr">
        <is>
          <t>Publicité</t>
        </is>
      </c>
      <c r="C22" s="41">
        <f>-SUMIFS(T_Finances[Publicité],T_Finances[Bien],$C$6,T_Finances[Mois],$F$6)</f>
        <v/>
      </c>
    </row>
    <row r="23">
      <c r="B23" s="35" t="inlineStr">
        <is>
          <t>Maintenance</t>
        </is>
      </c>
      <c r="C23" s="41">
        <f>-SUMIFS(T_Finances[Maintenance],T_Finances[Bien],$C$6,T_Finances[Mois],$F$6)</f>
        <v/>
      </c>
    </row>
    <row r="24">
      <c r="B24" s="35" t="inlineStr">
        <is>
          <t>Commission MG Hôte</t>
        </is>
      </c>
      <c r="C24" s="41">
        <f>-SUMIFS(T_Finances[Commission MG Hôte],T_Finances[Bien],$C$6,T_Finances[Mois],$F$6)</f>
        <v/>
      </c>
    </row>
    <row r="25">
      <c r="B25" s="42" t="inlineStr">
        <is>
          <t>NET À VERSER AU PROPRIÉTAIRE</t>
        </is>
      </c>
      <c r="C25" s="43">
        <f>SUM(C17:C24)</f>
        <v/>
      </c>
    </row>
    <row r="28">
      <c r="B28" s="44" t="inlineStr">
        <is>
          <t>Merci de votre confiance. — MG Hôte, Conciergerie Airbnb &amp; Booking</t>
        </is>
      </c>
    </row>
    <row r="31">
      <c r="B31" s="45" t="inlineStr">
        <is>
          <t>Signature MG Hôte</t>
        </is>
      </c>
      <c r="E31" s="45" t="inlineStr">
        <is>
          <t>Signature Propriétaire</t>
        </is>
      </c>
    </row>
  </sheetData>
  <sheetProtection selectLockedCells="0" selectUnlockedCells="0" sheet="1" objects="0" insertRows="0" insertHyperlinks="1" autoFilter="1" scenarios="0" formatColumns="1" deleteColumns="1" insertColumns="1" pivotTables="1" deleteRows="0" formatCells="0" formatRows="1" sort="1" password="C9B6"/>
  <mergeCells count="6">
    <mergeCell ref="A14:G14"/>
    <mergeCell ref="A1:G1"/>
    <mergeCell ref="A9:G9"/>
    <mergeCell ref="B28:F28"/>
    <mergeCell ref="A4:G4"/>
    <mergeCell ref="A2:G2"/>
  </mergeCells>
  <dataValidations count="1">
    <dataValidation sqref="C6" showDropDown="0" showInputMessage="0" showErrorMessage="0" allowBlank="1" type="list">
      <formula1>=Biens!$A$5:$A$300</formula1>
    </dataValidation>
  </dataValidations>
  <pageMargins left="0.75" right="0.75" top="1" bottom="1" header="0.5" footer="0.5"/>
  <pageSetup orientation="portrait" fitToHeight="1" fitToWidth="1"/>
</worksheet>
</file>

<file path=xl/worksheets/sheet12.xml><?xml version="1.0" encoding="utf-8"?>
<worksheet xmlns="http://schemas.openxmlformats.org/spreadsheetml/2006/main">
  <sheetPr>
    <tabColor rgb="00C9A227"/>
    <outlinePr summaryBelow="1" summaryRight="1"/>
    <pageSetUpPr fitToPage="1"/>
  </sheetPr>
  <dimension ref="A1:G29"/>
  <sheetViews>
    <sheetView showGridLines="0" workbookViewId="0">
      <selection activeCell="A1" sqref="A1"/>
    </sheetView>
  </sheetViews>
  <sheetFormatPr baseColWidth="8" defaultRowHeight="15"/>
  <cols>
    <col width="3" customWidth="1" min="1" max="1"/>
    <col width="30" customWidth="1" min="2" max="2"/>
    <col width="18" customWidth="1" min="3" max="3"/>
    <col width="3" customWidth="1" min="4" max="4"/>
    <col width="30" customWidth="1" min="5" max="5"/>
    <col width="18" customWidth="1" min="6" max="6"/>
    <col width="3" customWidth="1" min="7" max="7"/>
  </cols>
  <sheetData>
    <row r="1" ht="26" customHeight="1">
      <c r="A1" s="12" t="inlineStr">
        <is>
          <t>MG HÔTE — RAPPORT MENSUEL DE SYNTHÈSE</t>
        </is>
      </c>
      <c r="B1" s="2" t="n"/>
      <c r="C1" s="2" t="n"/>
      <c r="D1" s="2" t="n"/>
      <c r="E1" s="2" t="n"/>
      <c r="F1" s="2" t="n"/>
      <c r="G1" s="2" t="n"/>
    </row>
    <row r="2">
      <c r="A2" s="25" t="inlineStr">
        <is>
          <t>Sélectionnez le mois : la synthèse se génère automatiquement, tous biens confondus.</t>
        </is>
      </c>
    </row>
    <row r="4">
      <c r="B4" s="39" t="inlineStr">
        <is>
          <t>Mois (aaaa-mm)</t>
        </is>
      </c>
      <c r="C4" s="27" t="inlineStr">
        <is>
          <t>2026-07</t>
        </is>
      </c>
      <c r="E4" s="39" t="inlineStr">
        <is>
          <t>Date d'édition</t>
        </is>
      </c>
      <c r="F4" s="38">
        <f>TODAY()</f>
        <v/>
      </c>
    </row>
    <row r="6" ht="20" customHeight="1">
      <c r="A6" s="5" t="inlineStr">
        <is>
          <t>Synthèse financière</t>
        </is>
      </c>
    </row>
    <row r="8">
      <c r="B8" s="35" t="inlineStr">
        <is>
          <t>Chiffre d'affaires brut total</t>
        </is>
      </c>
      <c r="C8" s="22">
        <f>SUMIFS(T_Reservations[Prix total (TTC)],T_Reservations[Mois],$C$4,T_Reservations[Statut],"&lt;&gt;Annulée")</f>
        <v/>
      </c>
    </row>
    <row r="9">
      <c r="B9" s="35" t="inlineStr">
        <is>
          <t>Charges totales</t>
        </is>
      </c>
      <c r="C9" s="22">
        <f>SUMIFS(T_Finances[Total charges],T_Finances[Mois],$C$4)</f>
        <v/>
      </c>
    </row>
    <row r="10">
      <c r="B10" s="35" t="inlineStr">
        <is>
          <t>Commission MG Hôte totale</t>
        </is>
      </c>
      <c r="C10" s="22">
        <f>SUMIFS(T_Finances[Commission MG Hôte],T_Finances[Mois],$C$4)</f>
        <v/>
      </c>
    </row>
    <row r="11">
      <c r="B11" s="35" t="inlineStr">
        <is>
          <t>Résultat net global (propriétaires)</t>
        </is>
      </c>
      <c r="C11" s="43">
        <f>SUMIFS(T_Finances[Résultat net propriétaire],T_Finances[Mois],$C$4)</f>
        <v/>
      </c>
    </row>
    <row r="12">
      <c r="B12" s="35" t="inlineStr">
        <is>
          <t>Marge nette moyenne</t>
        </is>
      </c>
      <c r="C12" s="46">
        <f>IFERROR(C11/C8,0)</f>
        <v/>
      </c>
    </row>
    <row r="14" ht="20" customHeight="1">
      <c r="A14" s="5" t="inlineStr">
        <is>
          <t>Activité réservations</t>
        </is>
      </c>
    </row>
    <row r="16">
      <c r="B16" s="35" t="inlineStr">
        <is>
          <t>Réservations confirmées / en cours / terminées</t>
        </is>
      </c>
      <c r="C16" s="47">
        <f>COUNTIFS(T_Reservations[Mois],$C$4,T_Reservations[Statut],"&lt;&gt;Annulée")</f>
        <v/>
      </c>
    </row>
    <row r="17">
      <c r="B17" s="35" t="inlineStr">
        <is>
          <t>Annulations</t>
        </is>
      </c>
      <c r="C17" s="47">
        <f>COUNTIFS(T_Reservations[Mois],$C$4,T_Reservations[Statut],"Annulée")</f>
        <v/>
      </c>
    </row>
    <row r="18">
      <c r="B18" s="35" t="inlineStr">
        <is>
          <t>Nuits réservées</t>
        </is>
      </c>
      <c r="C18" s="47">
        <f>SUMIFS(T_Reservations[Nuits],T_Reservations[Mois],$C$4,T_Reservations[Statut],"&lt;&gt;Annulée")</f>
        <v/>
      </c>
    </row>
    <row r="19">
      <c r="B19" s="35" t="inlineStr">
        <is>
          <t>Taux d'occupation moyen</t>
        </is>
      </c>
      <c r="C19" s="46">
        <f>IFERROR(C18/(COUNTIF(T_Biens[Statut],"Actif")*DAY(EOMONTH(DATEVALUE($C$4&amp;"-01"),0))),0)</f>
        <v/>
      </c>
    </row>
    <row r="21" ht="20" customHeight="1">
      <c r="A21" s="5" t="inlineStr">
        <is>
          <t>Opérationnel</t>
        </is>
      </c>
    </row>
    <row r="23">
      <c r="B23" s="35" t="inlineStr">
        <is>
          <t>Ménages effectués</t>
        </is>
      </c>
      <c r="C23" s="47">
        <f>COUNTIFS(T_Menage[Date],"&gt;="&amp;DATEVALUE($C$4&amp;"-01"),T_Menage[Date],"&lt;="&amp;EOMONTH(DATEVALUE($C$4&amp;"-01"),0),T_Menage[Statut],"Fait")</f>
        <v/>
      </c>
    </row>
    <row r="24">
      <c r="B24" s="35" t="inlineStr">
        <is>
          <t>Ménages en attente</t>
        </is>
      </c>
      <c r="C24" s="47">
        <f>COUNTIFS(T_Menage[Date],"&gt;="&amp;DATEVALUE($C$4&amp;"-01"),T_Menage[Date],"&lt;="&amp;EOMONTH(DATEVALUE($C$4&amp;"-01"),0),T_Menage[Statut],"En attente")</f>
        <v/>
      </c>
    </row>
    <row r="25">
      <c r="B25" s="35" t="inlineStr">
        <is>
          <t>Incidents maintenance signalés</t>
        </is>
      </c>
      <c r="C25" s="47">
        <f>COUNTIFS(T_Maintenance[Mois],$C$4)</f>
        <v/>
      </c>
    </row>
    <row r="26">
      <c r="B26" s="35" t="inlineStr">
        <is>
          <t>Incidents maintenance résolus</t>
        </is>
      </c>
      <c r="C26" s="47">
        <f>COUNTIFS(T_Maintenance[Mois],$C$4,T_Maintenance[Statut],"Résolu")</f>
        <v/>
      </c>
    </row>
    <row r="29">
      <c r="B29" s="44" t="inlineStr">
        <is>
          <t>Rapport généré automatiquement — MG Hôte, Conciergerie Airbnb &amp; Booking</t>
        </is>
      </c>
    </row>
  </sheetData>
  <sheetProtection selectLockedCells="0" selectUnlockedCells="0" sheet="1" objects="0" insertRows="0" insertHyperlinks="1" autoFilter="1" scenarios="0" formatColumns="1" deleteColumns="1" insertColumns="1" pivotTables="1" deleteRows="0" formatCells="0" formatRows="1" sort="1" password="C9B6"/>
  <mergeCells count="6">
    <mergeCell ref="A14:G14"/>
    <mergeCell ref="B29:F29"/>
    <mergeCell ref="A1:G1"/>
    <mergeCell ref="A21:G21"/>
    <mergeCell ref="A6:G6"/>
    <mergeCell ref="A2:G2"/>
  </mergeCells>
  <pageMargins left="0.75" right="0.75" top="1" bottom="1" header="0.5" footer="0.5"/>
  <pageSetup orientation="portrait" fitToHeight="1" fitToWidth="1"/>
</worksheet>
</file>

<file path=xl/worksheets/sheet13.xml><?xml version="1.0" encoding="utf-8"?>
<worksheet xmlns="http://schemas.openxmlformats.org/spreadsheetml/2006/main">
  <sheetPr>
    <tabColor rgb="00BFBFBF"/>
    <outlinePr summaryBelow="1" summaryRight="1"/>
    <pageSetUpPr/>
  </sheetPr>
  <dimension ref="A1:H19"/>
  <sheetViews>
    <sheetView showGridLines="0" workbookViewId="0">
      <selection activeCell="A1" sqref="A1"/>
    </sheetView>
  </sheetViews>
  <sheetFormatPr baseColWidth="8" defaultRowHeight="15"/>
  <cols>
    <col width="26" customWidth="1" min="1" max="1"/>
    <col width="30" customWidth="1" min="2" max="2"/>
    <col width="4" customWidth="1" min="3" max="3"/>
    <col width="4" customWidth="1" min="4" max="4"/>
    <col width="4" customWidth="1" min="5" max="5"/>
    <col width="4" customWidth="1" min="6" max="6"/>
    <col width="4" customWidth="1" min="7" max="7"/>
    <col width="4" customWidth="1" min="8" max="8"/>
  </cols>
  <sheetData>
    <row r="1" ht="26" customHeight="1">
      <c r="A1" s="12" t="inlineStr">
        <is>
          <t>PARAMÈTRES — Listes de référence &amp; seuils (ne pas supprimer/déplacer les colonnes)</t>
        </is>
      </c>
      <c r="B1" s="2" t="n"/>
      <c r="C1" s="2" t="n"/>
      <c r="D1" s="2" t="n"/>
      <c r="E1" s="2" t="n"/>
      <c r="F1" s="2" t="n"/>
      <c r="G1" s="2" t="n"/>
      <c r="H1" s="2" t="n"/>
    </row>
    <row r="2">
      <c r="A2" s="25" t="inlineStr">
        <is>
          <t>Cet onglet alimente les listes déroulantes de tout le classeur. Vous pouvez modifier les seuils en bas de page.</t>
        </is>
      </c>
    </row>
    <row r="4" ht="20" customHeight="1">
      <c r="A4" s="5" t="inlineStr">
        <is>
          <t>Listes déroulantes</t>
        </is>
      </c>
    </row>
    <row r="6">
      <c r="A6" s="48" t="inlineStr">
        <is>
          <t>Plateformes</t>
        </is>
      </c>
      <c r="B6" s="48" t="inlineStr">
        <is>
          <t>Statuts réservation</t>
        </is>
      </c>
      <c r="C6" s="48" t="inlineStr">
        <is>
          <t>Types de bien</t>
        </is>
      </c>
      <c r="D6" s="48" t="inlineStr">
        <is>
          <t>Statuts ménage</t>
        </is>
      </c>
      <c r="E6" s="48" t="inlineStr">
        <is>
          <t>Priorités maintenance</t>
        </is>
      </c>
      <c r="F6" s="48" t="inlineStr">
        <is>
          <t>Statuts maintenance</t>
        </is>
      </c>
      <c r="G6" s="48" t="inlineStr">
        <is>
          <t>Paiement soldé</t>
        </is>
      </c>
    </row>
    <row r="7">
      <c r="A7" s="49" t="inlineStr">
        <is>
          <t>Airbnb</t>
        </is>
      </c>
      <c r="B7" s="49" t="inlineStr">
        <is>
          <t>Confirmée</t>
        </is>
      </c>
      <c r="C7" s="49" t="inlineStr">
        <is>
          <t>Villa</t>
        </is>
      </c>
      <c r="D7" s="49" t="inlineStr">
        <is>
          <t>Fait</t>
        </is>
      </c>
      <c r="E7" s="49" t="inlineStr">
        <is>
          <t>Basse</t>
        </is>
      </c>
      <c r="F7" s="49" t="inlineStr">
        <is>
          <t>Signalé</t>
        </is>
      </c>
      <c r="G7" s="49" t="inlineStr">
        <is>
          <t>Oui</t>
        </is>
      </c>
    </row>
    <row r="8">
      <c r="A8" s="49" t="inlineStr">
        <is>
          <t>Booking</t>
        </is>
      </c>
      <c r="B8" s="49" t="inlineStr">
        <is>
          <t>En cours</t>
        </is>
      </c>
      <c r="C8" s="49" t="inlineStr">
        <is>
          <t>Appartement</t>
        </is>
      </c>
      <c r="D8" s="49" t="inlineStr">
        <is>
          <t>En attente</t>
        </is>
      </c>
      <c r="E8" s="49" t="inlineStr">
        <is>
          <t>Moyenne</t>
        </is>
      </c>
      <c r="F8" s="49" t="inlineStr">
        <is>
          <t>En cours</t>
        </is>
      </c>
      <c r="G8" s="49" t="inlineStr">
        <is>
          <t>Non</t>
        </is>
      </c>
    </row>
    <row r="9">
      <c r="A9" s="49" t="inlineStr">
        <is>
          <t>Direct</t>
        </is>
      </c>
      <c r="B9" s="49" t="inlineStr">
        <is>
          <t>Terminée</t>
        </is>
      </c>
      <c r="C9" s="49" t="inlineStr">
        <is>
          <t>Riad</t>
        </is>
      </c>
      <c r="E9" s="49" t="inlineStr">
        <is>
          <t>Haute</t>
        </is>
      </c>
      <c r="F9" s="49" t="inlineStr">
        <is>
          <t>Résolu</t>
        </is>
      </c>
    </row>
    <row r="10">
      <c r="B10" s="49" t="inlineStr">
        <is>
          <t>Annulée</t>
        </is>
      </c>
      <c r="C10" s="49" t="inlineStr">
        <is>
          <t>Autre</t>
        </is>
      </c>
      <c r="E10" s="49" t="inlineStr">
        <is>
          <t>Urgente</t>
        </is>
      </c>
    </row>
    <row r="14" ht="20" customHeight="1">
      <c r="A14" s="5" t="inlineStr">
        <is>
          <t>Seuils d'alerte &amp; paramètres généraux</t>
        </is>
      </c>
    </row>
    <row r="16">
      <c r="B16" s="39" t="inlineStr">
        <is>
          <t>Seuil rentabilité faible (marge nette)</t>
        </is>
      </c>
      <c r="D16" s="50" t="n">
        <v>0.2</v>
      </c>
    </row>
    <row r="17">
      <c r="B17" s="39" t="inlineStr">
        <is>
          <t>Seuil logement vide (jours sans réservation)</t>
        </is>
      </c>
      <c r="D17" s="51" t="n">
        <v>14</v>
      </c>
    </row>
    <row r="18">
      <c r="B18" s="39" t="inlineStr">
        <is>
          <t>Commission MG Hôte par défaut</t>
        </is>
      </c>
      <c r="D18" s="50" t="n">
        <v>0.2</v>
      </c>
    </row>
    <row r="19">
      <c r="B19" s="39" t="inlineStr">
        <is>
          <t>Mot de passe protection des onglets</t>
        </is>
      </c>
      <c r="D19" s="52" t="inlineStr">
        <is>
          <t>MGHote2026</t>
        </is>
      </c>
    </row>
  </sheetData>
  <sheetProtection selectLockedCells="0" selectUnlockedCells="0" sheet="1" objects="0" insertRows="0" insertHyperlinks="1" autoFilter="1" scenarios="0" formatColumns="1" deleteColumns="1" insertColumns="1" pivotTables="1" deleteRows="0" formatCells="0" formatRows="1" sort="1" password="C9B6"/>
  <mergeCells count="4">
    <mergeCell ref="A4:H4"/>
    <mergeCell ref="A14:H14"/>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MG Hôte</dc:creator>
  <dc:title>MG Hôte — Gestion de Conciergerie</dc:title>
  <dc:description>Classeur de gestion MG Hôte : réservations, finances, ménage, maintenance, alertes, factures.</dc:description>
  <dc:subject>Conciergerie Airbnb &amp; Booking — Villas, Appartements, Riads</dc:subject>
  <dcterms:created xsi:type="dcterms:W3CDTF">2026-08-04T19:30:01Z</dcterms:created>
  <dcterms:modified xsi:type="dcterms:W3CDTF">2026-08-04T19:30:01Z</dcterms:modified>
</cp:coreProperties>
</file>